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Decisions &amp; Dependencies" sheetId="3" state="visible" r:id="rId5"/>
    <sheet name="Risks" sheetId="4" state="visible" r:id="rId6"/>
    <sheet name="Holiday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<sst xmlns="http://schemas.openxmlformats.org/spreadsheetml/2006/main" count="904" uniqueCount="713">
  <si>
    <t xml:space="preserve">NDMA — AI-Integrated Digital Twin Command Dashboard · Project Tracker</t>
  </si>
  <si>
    <t xml:space="preserve">Source: NDMA_Digital_Twin_Proposal.pdf · Phase 1 = one pilot district, riverine flood · Phase 2 = landslide, cyclone, more sensor/crowd inputs · Phase 3 = multi-district scale-up · Edit Start, End and Status; Working days recalculates (weekends and the Holidays tab excluded). Dates are planned from dependencies starting 12 Oct 26.</t>
  </si>
  <si>
    <t xml:space="preserve">Module</t>
  </si>
  <si>
    <t xml:space="preserve">Category</t>
  </si>
  <si>
    <t xml:space="preserve">Task</t>
  </si>
  <si>
    <t xml:space="preserve">Sub Task</t>
  </si>
  <si>
    <t xml:space="preserve">Description</t>
  </si>
  <si>
    <t xml:space="preserve">Acceptance criteria / Definition of done</t>
  </si>
  <si>
    <t xml:space="preserve">Start</t>
  </si>
  <si>
    <t xml:space="preserve">End</t>
  </si>
  <si>
    <t xml:space="preserve">Working days</t>
  </si>
  <si>
    <t xml:space="preserve">Status</t>
  </si>
  <si>
    <t xml:space="preserve">Dependency / Blocker</t>
  </si>
  <si>
    <t xml:space="preserve">Comments</t>
  </si>
  <si>
    <t xml:space="preserve">Artifacts</t>
  </si>
  <si>
    <t xml:space="preserve">A – Programme Setup &amp; Governance</t>
  </si>
  <si>
    <t xml:space="preserve">1. Project Initiation</t>
  </si>
  <si>
    <t xml:space="preserve">Solution Proposal</t>
  </si>
  <si>
    <t xml:space="preserve">Draft AI-integrated Digital Twin proposal</t>
  </si>
  <si>
    <t xml:space="preserve">Write the solution proposal: problem statement, five-layer solution, dashboard features, usage example, data sources, risks and expected impact.</t>
  </si>
  <si>
    <t xml:space="preserve">Done when: proposal (PDF + DOCX) is complete and committed to the repo.</t>
  </si>
  <si>
    <t xml:space="preserve">Done</t>
  </si>
  <si>
    <t xml:space="preserve">NDMA_Digital_Twin_Proposal.pdf; NDMA_Digital_Twin_Proposal (1).docx</t>
  </si>
  <si>
    <t xml:space="preserve">Proposal walkthrough and sign-off with NDMA</t>
  </si>
  <si>
    <t xml:space="preserve">Present the proposal to NDMA, capture feedback and get written go-ahead for Phase 1.</t>
  </si>
  <si>
    <t xml:space="preserve">Done when: NDMA sign-off (email/minutes) received and feedback logged.</t>
  </si>
  <si>
    <t xml:space="preserve">Not Started</t>
  </si>
  <si>
    <t xml:space="preserve">After: Draft AI-integrated Digital Twin proposal (P0). Needs: NDMA meeting slot for walkthrough.</t>
  </si>
  <si>
    <t xml:space="preserve">Scope &amp; Pilot</t>
  </si>
  <si>
    <t xml:space="preserve">Select Phase 1 pilot district</t>
  </si>
  <si>
    <t xml:space="preserve">Pick one well-mapped, flood-prone district with CWC gauges, good DEM coverage and a willing DEOC (mitigates the terrain-resolution risk).</t>
  </si>
  <si>
    <t xml:space="preserve">Done when: pilot district agreed in writing with a scored selection matrix.</t>
  </si>
  <si>
    <t xml:space="preserve">After: Proposal walkthrough and sign-off with NDMA (P1). Needs: NDMA / State SDMA nomination of candidate districts.</t>
  </si>
  <si>
    <t xml:space="preserve">Lock Phase 1 hazard and scope</t>
  </si>
  <si>
    <t xml:space="preserve">Phase 1 = riverine flood in the pilot district. Landslide, cyclone and wider sensor/crowd inputs move to Phase 2; multi-district scale-up is Phase 3.</t>
  </si>
  <si>
    <t xml:space="preserve">Done when: in/out-of-scope list signed off by NDMA.</t>
  </si>
  <si>
    <t xml:space="preserve">After: Select Phase 1 pilot district (P2).</t>
  </si>
  <si>
    <t xml:space="preserve">User roles and operational workflows</t>
  </si>
  <si>
    <t xml:space="preserve">Interview NDMA, SEOC, DEOC and NDRF/SDRF users; map how they plan shelters, routes and deployments today.</t>
  </si>
  <si>
    <t xml:space="preserve">Done when: personas, current-vs-future workflow maps and a prioritised needs list are documented.</t>
  </si>
  <si>
    <t xml:space="preserve">After: Proposal walkthrough and sign-off with NDMA (P1).</t>
  </si>
  <si>
    <t xml:space="preserve">Success metrics and acceptance bar</t>
  </si>
  <si>
    <t xml:space="preserve">Agree measurable targets: flood-extent accuracy (IoU/CSI), forecast lead time, route recompute time, dashboard load time.</t>
  </si>
  <si>
    <t xml:space="preserve">Done when: metric targets are agreed with NDMA and referenced by validation tasks.</t>
  </si>
  <si>
    <t xml:space="preserve">After: Lock Phase 1 hazard and scope (P3); User roles and operational workflows (P4).</t>
  </si>
  <si>
    <t xml:space="preserve">2. Data Agreements &amp; Governance</t>
  </si>
  <si>
    <t xml:space="preserve">Data-Sharing Agreements</t>
  </si>
  <si>
    <t xml:space="preserve">IMD data-sharing agreement</t>
  </si>
  <si>
    <t xml:space="preserve">Formal agreement for rainfall nowcasts, district forecasts and cyclone bulletins (API/FTP access).</t>
  </si>
  <si>
    <t xml:space="preserve">Done when: signed agreement and working credentials/endpoint for the pilot district.</t>
  </si>
  <si>
    <t xml:space="preserve">After: Select Phase 1 pilot district (P2). Needs: IMD nodal officer; NDMA letter of request.</t>
  </si>
  <si>
    <t xml:space="preserve">CWC data-sharing agreement</t>
  </si>
  <si>
    <t xml:space="preserve">Agreement for real-time river gauge levels and flood forecasts.</t>
  </si>
  <si>
    <t xml:space="preserve">Done when: signed agreement and live gauge feed access for pilot basins.</t>
  </si>
  <si>
    <t xml:space="preserve">After: Select Phase 1 pilot district (P2). Needs: CWC nodal officer; NDMA letter of request.</t>
  </si>
  <si>
    <t xml:space="preserve">ISRO / NRSC satellite data access</t>
  </si>
  <si>
    <t xml:space="preserve">Access to optical and SAR imagery and flood maps (Bhuvan / NDEM) for the pilot district.</t>
  </si>
  <si>
    <t xml:space="preserve">Done when: imagery access confirmed and a sample scene downloaded.</t>
  </si>
  <si>
    <t xml:space="preserve">After: Select Phase 1 pilot district (P2). Needs: NRSC approval via NDMA.</t>
  </si>
  <si>
    <t xml:space="preserve">Survey of India high-resolution DEM licence</t>
  </si>
  <si>
    <t xml:space="preserve">Licence for high-resolution elevation data — the base terrain of the 3D twin.</t>
  </si>
  <si>
    <t xml:space="preserve">Done when: licence signed and DEM tiles for the pilot district received.</t>
  </si>
  <si>
    <t xml:space="preserve">After: Select Phase 1 pilot district (P2). Needs: SoI licence approval.</t>
  </si>
  <si>
    <t xml:space="preserve">Census / LGD data access</t>
  </si>
  <si>
    <t xml:space="preserve">Population, household and administrative boundary data for impact and shelter sizing.</t>
  </si>
  <si>
    <t xml:space="preserve">Done when: ward/village-level population and LGD boundaries for the pilot district are available.</t>
  </si>
  <si>
    <t xml:space="preserve">Google Maps Platform licence and billing</t>
  </si>
  <si>
    <t xml:space="preserve">Enable Roads, Places and Traffic APIs with a government billing account and usage caps.</t>
  </si>
  <si>
    <t xml:space="preserve">Done when: API keys issued with quotas and a cost estimate approved.</t>
  </si>
  <si>
    <t xml:space="preserve">After: Proposal walkthrough and sign-off with NDMA (P1). Needs: budget approval for API usage.</t>
  </si>
  <si>
    <t xml:space="preserve">Commercial high-resolution imagery procurement</t>
  </si>
  <si>
    <t xml:space="preserve">Procure fine-resolution imagery for the pilot district to sharpen terrain and infrastructure detail.</t>
  </si>
  <si>
    <t xml:space="preserve">Done when: purchase order issued and imagery delivered.</t>
  </si>
  <si>
    <t xml:space="preserve">After: Select Phase 1 pilot district (P2). Needs: procurement approval (GeM).</t>
  </si>
  <si>
    <t xml:space="preserve">Pilot district only in Phase 1.</t>
  </si>
  <si>
    <t xml:space="preserve">Privacy &amp; Data Governance</t>
  </si>
  <si>
    <t xml:space="preserve">Data governance and privacy policy</t>
  </si>
  <si>
    <t xml:space="preserve">Policy covering citizen location/photo data and social media signals under the DPDP Act 2023: purpose limitation, minimisation, retention, access.</t>
  </si>
  <si>
    <t xml:space="preserve">Done when: policy approved by NDMA legal and published internally.</t>
  </si>
  <si>
    <t xml:space="preserve">After: Proposal walkthrough and sign-off with NDMA (P1). Needs: NDMA legal review.</t>
  </si>
  <si>
    <t xml:space="preserve">Runs alongside the technical build (proposal risk: data privacy &amp; consent).</t>
  </si>
  <si>
    <t xml:space="preserve">Data classification and retention rules</t>
  </si>
  <si>
    <t xml:space="preserve">Classify each data source (public / restricted / personal) and set retention periods.</t>
  </si>
  <si>
    <t xml:space="preserve">Done when: every ingested source has a class and retention rule applied in the pipeline config.</t>
  </si>
  <si>
    <t xml:space="preserve">After: Data governance and privacy policy (G1).</t>
  </si>
  <si>
    <t xml:space="preserve">Consent flow for citizen ground reports</t>
  </si>
  <si>
    <t xml:space="preserve">Consent text and opt-in flow for WhatsApp / SACHET reports (photo + location).</t>
  </si>
  <si>
    <t xml:space="preserve">Done when: consent text approved and recorded with every citizen report.</t>
  </si>
  <si>
    <t xml:space="preserve">B – Unified Data Ingestion (Layer 1)</t>
  </si>
  <si>
    <t xml:space="preserve">3. Ingestion Foundation</t>
  </si>
  <si>
    <t xml:space="preserve">Common Data Model</t>
  </si>
  <si>
    <t xml:space="preserve">Canonical schema for all feeds</t>
  </si>
  <si>
    <t xml:space="preserve">One schema for every source: timestamp (UTC + IST), geometry, source, unit, confidence and raw-payload reference.</t>
  </si>
  <si>
    <t xml:space="preserve">Done when: schema documented and validated against samples from every Phase 1 source.</t>
  </si>
  <si>
    <t xml:space="preserve">After: Lock Phase 1 hazard and scope (P3).</t>
  </si>
  <si>
    <t xml:space="preserve">Ingestion Framework</t>
  </si>
  <si>
    <t xml:space="preserve">Connector framework and scheduler</t>
  </si>
  <si>
    <t xml:space="preserve">Reusable connector framework with scheduling, retries, back-fill and idempotent loads so feeds stay fresh without manual effort.</t>
  </si>
  <si>
    <t xml:space="preserve">Done when: scheduled runs complete, resume after interruption and never run twice at once.</t>
  </si>
  <si>
    <t xml:space="preserve">After: Canonical schema for all feeds (I1); Dev / test / prod environments as code (H1).</t>
  </si>
  <si>
    <t xml:space="preserve">Spatial data store (PostGIS + object storage)</t>
  </si>
  <si>
    <t xml:space="preserve">Store vector layers, time-series and rasters/imagery in one spatially indexed store.</t>
  </si>
  <si>
    <t xml:space="preserve">Done when: store is provisioned in dev/test with spatial indexes and backup.</t>
  </si>
  <si>
    <t xml:space="preserve">Pipeline status view (last run, errors, owner)</t>
  </si>
  <si>
    <t xml:space="preserve">Simple view showing, per source, when it last succeeded, what failed and who owns it.</t>
  </si>
  <si>
    <t xml:space="preserve">Done when: operations can spot a stale/failed feed without engineering help.</t>
  </si>
  <si>
    <t xml:space="preserve">After: Connector framework and scheduler (I2).</t>
  </si>
  <si>
    <t xml:space="preserve">4. Agency Feeds</t>
  </si>
  <si>
    <t xml:space="preserve">IMD</t>
  </si>
  <si>
    <t xml:space="preserve">IMD connector (rainfall, forecasts, cyclone bulletins)</t>
  </si>
  <si>
    <t xml:space="preserve">Pull nowcasts, district rainfall forecasts and bulletins into the canonical schema.</t>
  </si>
  <si>
    <t xml:space="preserve">Done when: IMD data for the pilot district lands every cycle with &lt; 1 cycle lag.</t>
  </si>
  <si>
    <t xml:space="preserve">After: Connector framework and scheduler (I2); IMD data-sharing agreement (D1).</t>
  </si>
  <si>
    <t xml:space="preserve">CWC</t>
  </si>
  <si>
    <t xml:space="preserve">CWC connector (gauge levels, flood forecasts)</t>
  </si>
  <si>
    <t xml:space="preserve">Pull river gauge levels, danger/warning marks and flood forecasts for the pilot basins.</t>
  </si>
  <si>
    <t xml:space="preserve">Done when: all pilot-basin gauges update on schedule with danger marks attached.</t>
  </si>
  <si>
    <t xml:space="preserve">After: Connector framework and scheduler (I2); CWC data-sharing agreement (D2).</t>
  </si>
  <si>
    <t xml:space="preserve">ISRO / NRSC</t>
  </si>
  <si>
    <t xml:space="preserve">Satellite imagery connector (optical + SAR)</t>
  </si>
  <si>
    <t xml:space="preserve">Ingest optical and SAR scenes and NRSC flood-extent products for change detection.</t>
  </si>
  <si>
    <t xml:space="preserve">Done when: new scenes for the pilot district are catalogued automatically.</t>
  </si>
  <si>
    <t xml:space="preserve">After: Connector framework and scheduler (I2); ISRO / NRSC satellite data access (D3).</t>
  </si>
  <si>
    <t xml:space="preserve">Open Satellite</t>
  </si>
  <si>
    <t xml:space="preserve">Copernicus Sentinel-1/2 and Landsat connector</t>
  </si>
  <si>
    <t xml:space="preserve">Open imagery for flood-extent and land-cover validation (no agreement needed).</t>
  </si>
  <si>
    <t xml:space="preserve">Done when: scenes over the pilot district are searchable by date and cloud cover.</t>
  </si>
  <si>
    <t xml:space="preserve">5. Static &amp; Reference Layers</t>
  </si>
  <si>
    <t xml:space="preserve">Terrain</t>
  </si>
  <si>
    <t xml:space="preserve">Ingest and tile SoI DEM</t>
  </si>
  <si>
    <t xml:space="preserve">Clean, reproject and tile the DEM; fill voids from open DEMs where needed.</t>
  </si>
  <si>
    <t xml:space="preserve">Done when: seamless DEM for the pilot district is served as tiles with void report.</t>
  </si>
  <si>
    <t xml:space="preserve">After: Spatial data store (PostGIS + object storage) (I3); Survey of India high-resolution DEM licence (D4).</t>
  </si>
  <si>
    <t xml:space="preserve">Population &amp; Boundaries</t>
  </si>
  <si>
    <t xml:space="preserve">Census / LGD population and boundaries</t>
  </si>
  <si>
    <t xml:space="preserve">Load ward/village boundaries and population, households and age bands.</t>
  </si>
  <si>
    <t xml:space="preserve">Done when: every zone in the pilot district has population and household counts.</t>
  </si>
  <si>
    <t xml:space="preserve">After: Spatial data store (PostGIS + object storage) (I3); Census / LGD data access (D5).</t>
  </si>
  <si>
    <t xml:space="preserve">Infrastructure</t>
  </si>
  <si>
    <t xml:space="preserve">Roads, bridges and critical facilities layer</t>
  </si>
  <si>
    <t xml:space="preserve">Build roads, bridges, hospitals, schools and govt buildings from OSM + Google Places/Roads.</t>
  </si>
  <si>
    <t xml:space="preserve">Done when: routable road network and facility layer cover the pilot district.</t>
  </si>
  <si>
    <t xml:space="preserve">After: Spatial data store (PostGIS + object storage) (I3); Google Maps Platform licence and billing (D6).</t>
  </si>
  <si>
    <t xml:space="preserve">History</t>
  </si>
  <si>
    <t xml:space="preserve">Historical disaster records</t>
  </si>
  <si>
    <t xml:space="preserve">Collect past flood events: dates, gauge peaks, mapped extents, damage and relief records.</t>
  </si>
  <si>
    <t xml:space="preserve">Done when: at least 5 past flood events are catalogued with extents for backtesting.</t>
  </si>
  <si>
    <t xml:space="preserve">After: Spatial data store (PostGIS + object storage) (I3).</t>
  </si>
  <si>
    <t xml:space="preserve">Used to calibrate and backtest every model.</t>
  </si>
  <si>
    <t xml:space="preserve">Resources</t>
  </si>
  <si>
    <t xml:space="preserve">IDRN resource inventory import</t>
  </si>
  <si>
    <t xml:space="preserve">Import India Disaster Resource Network equipment and team inventory for the pilot state.</t>
  </si>
  <si>
    <t xml:space="preserve">Done when: IDRN inventory is queryable by location and resource type.</t>
  </si>
  <si>
    <t xml:space="preserve">After: Spatial data store (PostGIS + object storage) (I3). Needs: IDRN data access via NDMA.</t>
  </si>
  <si>
    <t xml:space="preserve">6. Sensor &amp; Crowdsourced Feeds</t>
  </si>
  <si>
    <t xml:space="preserve">Hardware Sensors</t>
  </si>
  <si>
    <t xml:space="preserve">River / rain gauge sensor telemetry (pilot)</t>
  </si>
  <si>
    <t xml:space="preserve">Ingest telemetry from pilot river-level and rainfall gauges (MQTT/HTTP).</t>
  </si>
  <si>
    <t xml:space="preserve">Done when: pilot sensors stream into the store with device health status.</t>
  </si>
  <si>
    <t xml:space="preserve">After: Connector framework and scheduler (I2). Needs: sensor vendor / state agency feed access.</t>
  </si>
  <si>
    <t xml:space="preserve">Ground Reporting</t>
  </si>
  <si>
    <t xml:space="preserve">WhatsApp ground-reporting bot</t>
  </si>
  <si>
    <t xml:space="preserve">Structured bot for field staff and citizens to send photo + location + short description.</t>
  </si>
  <si>
    <t xml:space="preserve">Done when: reports arrive geotagged with consent recorded and reach the ingestion layer.</t>
  </si>
  <si>
    <t xml:space="preserve">After: Connector framework and scheduler (I2); Consent flow for citizen ground reports (G3). Needs: WhatsApp Business API account.</t>
  </si>
  <si>
    <t xml:space="preserve">Report verification and trust score</t>
  </si>
  <si>
    <t xml:space="preserve">De-duplicate, geo-check and score reports (image checks, reporter history, agreement with sensors) before they are trusted.</t>
  </si>
  <si>
    <t xml:space="preserve">Done when: every report carries a trust score and low-trust reports are held for review.</t>
  </si>
  <si>
    <t xml:space="preserve">After: WhatsApp ground-reporting bot (I17).</t>
  </si>
  <si>
    <t xml:space="preserve">Mitigation for crowdsourced misinformation risk.</t>
  </si>
  <si>
    <t xml:space="preserve">7. Data Quality</t>
  </si>
  <si>
    <t xml:space="preserve">Normalisation</t>
  </si>
  <si>
    <t xml:space="preserve">Units, CRS and time-zone normalisation</t>
  </si>
  <si>
    <t xml:space="preserve">Convert all feeds to common units, one CRS and UTC/IST timestamps.</t>
  </si>
  <si>
    <t xml:space="preserve">Done when: no unit/CRS mismatches across Phase 1 sources in the QA report.</t>
  </si>
  <si>
    <t xml:space="preserve">After: IMD connector (rainfall, forecasts, cyclone bulletins) (I5); CWC connector (gauge levels, flood forecasts) (I6).</t>
  </si>
  <si>
    <t xml:space="preserve">Quality Rules</t>
  </si>
  <si>
    <t xml:space="preserve">Staleness, gap and outlier rules with alerts</t>
  </si>
  <si>
    <t xml:space="preserve">Rules that flag stale feeds, missing values and impossible readings; alert the data owner.</t>
  </si>
  <si>
    <t xml:space="preserve">Done when: rules are documented, applied and alerts fire in test.</t>
  </si>
  <si>
    <t xml:space="preserve">After: Units, CRS and time-zone normalisation (I21).</t>
  </si>
  <si>
    <t xml:space="preserve">C – AI/ML Prediction Engine (Layer 2)</t>
  </si>
  <si>
    <t xml:space="preserve">8. EDA &amp; Feature Prep</t>
  </si>
  <si>
    <t xml:space="preserve">EDA</t>
  </si>
  <si>
    <t xml:space="preserve">EDA on historical floods, rainfall and gauges</t>
  </si>
  <si>
    <t xml:space="preserve">Study rainfall–gauge lag, upstream/downstream relationships and past extents in the pilot basin.</t>
  </si>
  <si>
    <t xml:space="preserve">Done when: findings and modelling decisions are documented in a notebook.</t>
  </si>
  <si>
    <t xml:space="preserve">After: Historical disaster records (I12); CWC connector (gauge levels, flood forecasts) (I6); IMD connector (rainfall, forecasts, cyclone bulletins) (I5).</t>
  </si>
  <si>
    <t xml:space="preserve">Features</t>
  </si>
  <si>
    <t xml:space="preserve">Feature store (rainfall accumulations, upstream levels, soil, land cover)</t>
  </si>
  <si>
    <t xml:space="preserve">Reusable, versioned features for all flood models.</t>
  </si>
  <si>
    <t xml:space="preserve">Done when: features are reproducible from raw data with one command.</t>
  </si>
  <si>
    <t xml:space="preserve">After: EDA on historical floods, rainfall and gauges (M1); Staleness, gap and outlier rules with alerts (I22).</t>
  </si>
  <si>
    <t xml:space="preserve">9. Flood Forecasting</t>
  </si>
  <si>
    <t xml:space="preserve">Hydraulic Model</t>
  </si>
  <si>
    <t xml:space="preserve">Hydraulic/hydrological model set-up on DEM</t>
  </si>
  <si>
    <t xml:space="preserve">Set up a physics model (e.g. HEC-RAS 2D / LISFLOOD-FP) for the pilot basin and calibrate on past events.</t>
  </si>
  <si>
    <t xml:space="preserve">Done when: model reproduces at least 3 historical extents within the agreed accuracy bar.</t>
  </si>
  <si>
    <t xml:space="preserve">After: Ingest and tile SoI DEM (I9); EDA on historical floods, rainfall and gauges (M1).</t>
  </si>
  <si>
    <t xml:space="preserve">ML Forecaster</t>
  </si>
  <si>
    <t xml:space="preserve">Gauge-level forecaster (6/12/24/48 h)</t>
  </si>
  <si>
    <t xml:space="preserve">ML model (e.g. LSTM / gradient boosting) forecasting gauge levels from rainfall and upstream levels.</t>
  </si>
  <si>
    <t xml:space="preserve">Done when: beats CWC persistence baseline on held-out seasons.</t>
  </si>
  <si>
    <t xml:space="preserve">After: Feature store (rainfall accumulations, upstream levels, soil, land cover) (M2).</t>
  </si>
  <si>
    <t xml:space="preserve">Flood Extent</t>
  </si>
  <si>
    <t xml:space="preserve">Flood-extent prediction (hydraulic + ML surrogate)</t>
  </si>
  <si>
    <t xml:space="preserve">Fast surrogate of the hydraulic model driven by forecast levels to produce extents in minutes.</t>
  </si>
  <si>
    <t xml:space="preserve">Done when: surrogate extents match the full model within the agreed tolerance and run in &lt; 5 min.</t>
  </si>
  <si>
    <t xml:space="preserve">After: Hydraulic/hydrological model set-up on DEM (M3); Gauge-level forecaster (6/12/24/48 h) (M4).</t>
  </si>
  <si>
    <t xml:space="preserve">Fusion</t>
  </si>
  <si>
    <t xml:space="preserve">Fuse IMD, CWC and ISRO signals into one forecast</t>
  </si>
  <si>
    <t xml:space="preserve">Combine agency forecasts, sensor data and satellite-observed extents into one localised forecast.</t>
  </si>
  <si>
    <t xml:space="preserve">Done when: one fused forecast is produced per cycle with source contributions logged.</t>
  </si>
  <si>
    <t xml:space="preserve">After: Flood-extent prediction (hydraulic + ML surrogate) (M5); Satellite imagery connector (optical + SAR) (I7); River / rain gauge sensor telemetry (pilot) (I14).</t>
  </si>
  <si>
    <t xml:space="preserve">10. Risk Scoring</t>
  </si>
  <si>
    <t xml:space="preserve">Zone Risk</t>
  </si>
  <si>
    <t xml:space="preserve">Per-zone risk score</t>
  </si>
  <si>
    <t xml:space="preserve">Continuously updated risk score per zone (ward / hex grid) combining hazard and exposure.</t>
  </si>
  <si>
    <t xml:space="preserve">Done when: every zone has a score refreshed each forecast cycle.</t>
  </si>
  <si>
    <t xml:space="preserve">After: Fuse IMD, CWC and ISRO signals into one forecast (M6); Census / LGD population and boundaries (I10).</t>
  </si>
  <si>
    <t xml:space="preserve">Time-Boxed Forecast</t>
  </si>
  <si>
    <t xml:space="preserve">Hour-by-hour hazard extents</t>
  </si>
  <si>
    <t xml:space="preserve">Time-boxed forecasts (e.g. extent X by hour 18, Y by hour 24) instead of static labels.</t>
  </si>
  <si>
    <t xml:space="preserve">Done when: hourly extents for the forecast window are published per cycle.</t>
  </si>
  <si>
    <t xml:space="preserve">After: Per-zone risk score (M7).</t>
  </si>
  <si>
    <t xml:space="preserve">Uncertainty</t>
  </si>
  <si>
    <t xml:space="preserve">Confidence bands for extents and scores</t>
  </si>
  <si>
    <t xml:space="preserve">Show likely / worst-case extents and a confidence level so operators know how far to trust each forecast.</t>
  </si>
  <si>
    <t xml:space="preserve">Done when: every forecast carries a confidence band and calibration is checked.</t>
  </si>
  <si>
    <t xml:space="preserve">After: Hour-by-hour hazard extents (M8).</t>
  </si>
  <si>
    <t xml:space="preserve">Thresholds</t>
  </si>
  <si>
    <t xml:space="preserve">Critical-threshold and alert rules</t>
  </si>
  <si>
    <t xml:space="preserve">Rules that raise alerts and trigger pre-positioning when a zone crosses a critical score.</t>
  </si>
  <si>
    <t xml:space="preserve">Done when: thresholds are agreed with NDMA and alerts fire correctly in replay.</t>
  </si>
  <si>
    <t xml:space="preserve">After: Confidence bands for extents and scores (M9); Success metrics and acceptance bar (P5).</t>
  </si>
  <si>
    <t xml:space="preserve">11. Model Validation</t>
  </si>
  <si>
    <t xml:space="preserve">Backtesting</t>
  </si>
  <si>
    <t xml:space="preserve">Backtest against historical events</t>
  </si>
  <si>
    <t xml:space="preserve">Replay past floods end to end and compare predicted vs observed extents, timings and gauges.</t>
  </si>
  <si>
    <t xml:space="preserve">Done when: backtest report meets the agreed acceptance bar for all catalogued events.</t>
  </si>
  <si>
    <t xml:space="preserve">After: Hour-by-hour hazard extents (M8); Historical disaster records (I12).</t>
  </si>
  <si>
    <t xml:space="preserve">Mitigation for model-trust risk.</t>
  </si>
  <si>
    <t xml:space="preserve">Reporting</t>
  </si>
  <si>
    <t xml:space="preserve">Model card and accuracy report</t>
  </si>
  <si>
    <t xml:space="preserve">Plain-language model card: data, method, accuracy by zone, known weaknesses.</t>
  </si>
  <si>
    <t xml:space="preserve">Done when: reviewed and accepted by NDMA technical committee.</t>
  </si>
  <si>
    <t xml:space="preserve">After: Backtest against historical events (M11).</t>
  </si>
  <si>
    <t xml:space="preserve">D – Digital Twin Simulation (Layer 3)</t>
  </si>
  <si>
    <t xml:space="preserve">12. 3D Base Twin</t>
  </si>
  <si>
    <t xml:space="preserve">Engine</t>
  </si>
  <si>
    <t xml:space="preserve">3D engine selection and spike</t>
  </si>
  <si>
    <t xml:space="preserve">Compare CesiumJS, deck.gl and similar for terrain, 3D tiles, time animation and offline support.</t>
  </si>
  <si>
    <t xml:space="preserve">Done when: engine chosen with a working spike on pilot terrain.</t>
  </si>
  <si>
    <t xml:space="preserve">Terrain mesh from DEM (3D tiles)</t>
  </si>
  <si>
    <t xml:space="preserve">Convert the DEM into streamable 3D terrain tiles.</t>
  </si>
  <si>
    <t xml:space="preserve">Done when: pilot district terrain loads smoothly in the browser.</t>
  </si>
  <si>
    <t xml:space="preserve">After: 3D engine selection and spike (T1); Ingest and tile SoI DEM (I9).</t>
  </si>
  <si>
    <t xml:space="preserve">Buildings and infrastructure 3D layer</t>
  </si>
  <si>
    <t xml:space="preserve">Extrude buildings and add roads, bridges and critical facilities to the twin.</t>
  </si>
  <si>
    <t xml:space="preserve">Done when: critical facilities and road network are visible and selectable.</t>
  </si>
  <si>
    <t xml:space="preserve">After: Terrain mesh from DEM (3D tiles) (T2); Roads, bridges and critical facilities layer (I11).</t>
  </si>
  <si>
    <t xml:space="preserve">Imagery</t>
  </si>
  <si>
    <t xml:space="preserve">Satellite imagery drape</t>
  </si>
  <si>
    <t xml:space="preserve">Drape latest optical imagery (open + commercial) over terrain.</t>
  </si>
  <si>
    <t xml:space="preserve">Done when: imagery layer can be switched by date.</t>
  </si>
  <si>
    <t xml:space="preserve">After: Terrain mesh from DEM (3D tiles) (T2); Copernicus Sentinel-1/2 and Landsat connector (I8).</t>
  </si>
  <si>
    <t xml:space="preserve">13. Hazard Simulation</t>
  </si>
  <si>
    <t xml:space="preserve">Animation</t>
  </si>
  <si>
    <t xml:space="preserve">Animated flood spread over forecast window</t>
  </si>
  <si>
    <t xml:space="preserve">Render forecast extents and depths as an animated layer on the twin.</t>
  </si>
  <si>
    <t xml:space="preserve">Done when: the twin animates predicted spread hour by hour for any forecast cycle.</t>
  </si>
  <si>
    <t xml:space="preserve">After: Buildings and infrastructure 3D layer (T3); Hour-by-hour hazard extents (M8).</t>
  </si>
  <si>
    <t xml:space="preserve">Timeline</t>
  </si>
  <si>
    <t xml:space="preserve">Timeline scrubber (rewind / fast-forward)</t>
  </si>
  <si>
    <t xml:space="preserve">Rotate, zoom and scrub through the forecast timeline.</t>
  </si>
  <si>
    <t xml:space="preserve">Done when: operators can jump to any forecast hour in &lt; 2 s.</t>
  </si>
  <si>
    <t xml:space="preserve">After: Animated flood spread over forecast window (T5).</t>
  </si>
  <si>
    <t xml:space="preserve">Impact View</t>
  </si>
  <si>
    <t xml:space="preserve">Cut-off roads and threatened neighbourhoods</t>
  </si>
  <si>
    <t xml:space="preserve">Highlight roads predicted to flood and neighbourhoods at risk, readable by non-technical users.</t>
  </si>
  <si>
    <t xml:space="preserve">Done when: cut-off roads and threatened areas are highlighted per forecast hour.</t>
  </si>
  <si>
    <t xml:space="preserve">After: Animated flood spread over forecast window (T5); Roads, bridges and critical facilities layer (I11).</t>
  </si>
  <si>
    <t xml:space="preserve">Performance</t>
  </si>
  <si>
    <t xml:space="preserve">Performance on SEOC / district hardware</t>
  </si>
  <si>
    <t xml:space="preserve">Optimise tiles and rendering for typical control-room machines and bandwidth.</t>
  </si>
  <si>
    <t xml:space="preserve">Done when: first load &lt; 5 s and smooth playback on agreed reference hardware.</t>
  </si>
  <si>
    <t xml:space="preserve">After: Timeline scrubber (rewind / fast-forward) (T6).</t>
  </si>
  <si>
    <t xml:space="preserve">14. Shadow Mode</t>
  </si>
  <si>
    <t xml:space="preserve">Replay</t>
  </si>
  <si>
    <t xml:space="preserve">Replay historical events in the twin</t>
  </si>
  <si>
    <t xml:space="preserve">Run the twin against past floods to validate behaviour before live use.</t>
  </si>
  <si>
    <t xml:space="preserve">Done when: any catalogued historical event can be replayed end to end.</t>
  </si>
  <si>
    <t xml:space="preserve">After: Timeline scrubber (rewind / fast-forward) (T6); Backtest against historical events (M11).</t>
  </si>
  <si>
    <t xml:space="preserve">Comparison</t>
  </si>
  <si>
    <t xml:space="preserve">Predicted vs observed side-by-side</t>
  </si>
  <si>
    <t xml:space="preserve">Overlay observed extents (satellite) on predicted extents with an error summary.</t>
  </si>
  <si>
    <t xml:space="preserve">Done when: side-by-side view and error summary are available for every replayed event.</t>
  </si>
  <si>
    <t xml:space="preserve">After: Replay historical events in the twin (T9).</t>
  </si>
  <si>
    <t xml:space="preserve">E – Planning &amp; Decision Support (Layer 4)</t>
  </si>
  <si>
    <t xml:space="preserve">15. Impact &amp; Affected-Area Analysis</t>
  </si>
  <si>
    <t xml:space="preserve">Affected Population</t>
  </si>
  <si>
    <t xml:space="preserve">Affected population and households per zone</t>
  </si>
  <si>
    <t xml:space="preserve">Overlay Census/LGD population on hazard extents to estimate people and households affected.</t>
  </si>
  <si>
    <t xml:space="preserve">Done when: per-zone affected counts are produced for every forecast hour.</t>
  </si>
  <si>
    <t xml:space="preserve">After: Per-zone risk score (M7); Census / LGD population and boundaries (I10).</t>
  </si>
  <si>
    <t xml:space="preserve">Critical infrastructure exposure</t>
  </si>
  <si>
    <t xml:space="preserve">List hospitals, schools, bridges, substations etc. inside predicted extents.</t>
  </si>
  <si>
    <t xml:space="preserve">Done when: exposed assets are listed per zone and hour.</t>
  </si>
  <si>
    <t xml:space="preserve">After: Affected population and households per zone (E1); Roads, bridges and critical facilities layer (I11).</t>
  </si>
  <si>
    <t xml:space="preserve">Projections</t>
  </si>
  <si>
    <t xml:space="preserve">Time-boxed impact projections</t>
  </si>
  <si>
    <t xml:space="preserve">Impact numbers by hour (e.g. 'X households by hour 18, Y by hour 24').</t>
  </si>
  <si>
    <t xml:space="preserve">Done when: projections refresh automatically with each forecast cycle.</t>
  </si>
  <si>
    <t xml:space="preserve">After: Affected population and households per zone (E1); Hour-by-hour hazard extents (M8).</t>
  </si>
  <si>
    <t xml:space="preserve">Vulnerability</t>
  </si>
  <si>
    <t xml:space="preserve">Vulnerable-pocket flagging</t>
  </si>
  <si>
    <t xml:space="preserve">Flag high-risk zones with vulnerable groups (e.g. elderly) lacking nearby heavy-equipment teams via IDRN.</t>
  </si>
  <si>
    <t xml:space="preserve">Done when: vulnerable pockets are flagged with the reason shown.</t>
  </si>
  <si>
    <t xml:space="preserve">After: Critical infrastructure exposure (E2); IDRN resource inventory import (I13).</t>
  </si>
  <si>
    <t xml:space="preserve">16. Shelter &amp; Safe-House Planning</t>
  </si>
  <si>
    <t xml:space="preserve">Shelter Candidates</t>
  </si>
  <si>
    <t xml:space="preserve">Candidate shelters outside the hazard zone</t>
  </si>
  <si>
    <t xml:space="preserve">Identify schools, community halls and govt buildings (Places/POI + local lists) outside predicted extents.</t>
  </si>
  <si>
    <t xml:space="preserve">Done when: candidate list updates with each forecast and excludes sites inside the extent.</t>
  </si>
  <si>
    <t xml:space="preserve">Shelter suitability scoring</t>
  </si>
  <si>
    <t xml:space="preserve">Score candidates on capacity, access route safety, distance and facilities.</t>
  </si>
  <si>
    <t xml:space="preserve">Done when: ranked shortlist is produced per affected zone.</t>
  </si>
  <si>
    <t xml:space="preserve">After: Candidate shelters outside the hazard zone (E5).</t>
  </si>
  <si>
    <t xml:space="preserve">Capacity</t>
  </si>
  <si>
    <t xml:space="preserve">Live shelter capacity tracking</t>
  </si>
  <si>
    <t xml:space="preserve">Track occupancy so operators see which shelters are filling up.</t>
  </si>
  <si>
    <t xml:space="preserve">Done when: occupancy can be updated by field staff and shows on the dashboard.</t>
  </si>
  <si>
    <t xml:space="preserve">After: Shelter suitability scoring (E6).</t>
  </si>
  <si>
    <t xml:space="preserve">Shelter demand vs capacity gap</t>
  </si>
  <si>
    <t xml:space="preserve">Compare projected displaced population with available capacity by zone and hour.</t>
  </si>
  <si>
    <t xml:space="preserve">Done when: gaps are flagged with suggested extra sites.</t>
  </si>
  <si>
    <t xml:space="preserve">After: Live shelter capacity tracking (E7); Time-boxed impact projections (E3).</t>
  </si>
  <si>
    <t xml:space="preserve">17. Evacuation Route Planning</t>
  </si>
  <si>
    <t xml:space="preserve">Road Graph</t>
  </si>
  <si>
    <t xml:space="preserve">Routable road graph with predicted closures</t>
  </si>
  <si>
    <t xml:space="preserve">Mark road segments predicted to flood or close for each forecast hour.</t>
  </si>
  <si>
    <t xml:space="preserve">Done when: graph reflects predicted closures per forecast hour.</t>
  </si>
  <si>
    <t xml:space="preserve">After: Roads, bridges and critical facilities layer (I11); Hour-by-hour hazard extents (M8).</t>
  </si>
  <si>
    <t xml:space="preserve">Routing</t>
  </si>
  <si>
    <t xml:space="preserve">Safe evacuation route computation</t>
  </si>
  <si>
    <t xml:space="preserve">Compute evacuation routes from affected zones to shelters avoiding predicted closures.</t>
  </si>
  <si>
    <t xml:space="preserve">Done when: every affected zone has a safe route to its assigned shelter or is flagged as cut off.</t>
  </si>
  <si>
    <t xml:space="preserve">After: Routable road graph with predicted closures (E9); Shelter suitability scoring (E6).</t>
  </si>
  <si>
    <t xml:space="preserve">Relief-vehicle routing with live traffic</t>
  </si>
  <si>
    <t xml:space="preserve">Routes for relief vehicles using Google Roads/Traffic plus predicted hazard.</t>
  </si>
  <si>
    <t xml:space="preserve">Done when: relief routes include live traffic and avoid predicted closures.</t>
  </si>
  <si>
    <t xml:space="preserve">After: Safe evacuation route computation (E10); Google Maps Platform licence and billing (D6).</t>
  </si>
  <si>
    <t xml:space="preserve">Automatic recompute on forecast update</t>
  </si>
  <si>
    <t xml:space="preserve">Recompute routes whenever the forecast changes so plans are always current.</t>
  </si>
  <si>
    <t xml:space="preserve">Done when: routes refresh within 5 min of a new forecast.</t>
  </si>
  <si>
    <t xml:space="preserve">After: Safe evacuation route computation (E10).</t>
  </si>
  <si>
    <t xml:space="preserve">De-confliction</t>
  </si>
  <si>
    <t xml:space="preserve">Citizen vs NDRF route conflict detection</t>
  </si>
  <si>
    <t xml:space="preserve">Flag where citizen evacuation routes and NDRF relief routes collide.</t>
  </si>
  <si>
    <t xml:space="preserve">Done when: conflicts are flagged with suggested alternatives.</t>
  </si>
  <si>
    <t xml:space="preserve">After: Relief-vehicle routing with live traffic (E11).</t>
  </si>
  <si>
    <t xml:space="preserve">Export</t>
  </si>
  <si>
    <t xml:space="preserve">Export route and shelter plans for official channels</t>
  </si>
  <si>
    <t xml:space="preserve">Operator-issued export for SACHET / Cell Broadcast. Nothing is sent automatically.</t>
  </si>
  <si>
    <t xml:space="preserve">Done when: plans export in the agreed format after operator approval.</t>
  </si>
  <si>
    <t xml:space="preserve">After: Automatic recompute on forecast update (E12); Shelter demand vs capacity gap (E8). Needs: SACHET / C-DOT message format confirmation.</t>
  </si>
  <si>
    <t xml:space="preserve">F – Force Coordination &amp; Control (Layer 5)</t>
  </si>
  <si>
    <t xml:space="preserve">18. Force Tracking</t>
  </si>
  <si>
    <t xml:space="preserve">Unit Registry</t>
  </si>
  <si>
    <t xml:space="preserve">NDRF / SDRF unit and capability registry</t>
  </si>
  <si>
    <t xml:space="preserve">Register units, capabilities, equipment and home bases.</t>
  </si>
  <si>
    <t xml:space="preserve">Done when: all units for the pilot state are registered with capabilities.</t>
  </si>
  <si>
    <t xml:space="preserve">After: IDRN resource inventory import (I13). Needs: NDRF / SDRF unit data.</t>
  </si>
  <si>
    <t xml:space="preserve">Live Tracking</t>
  </si>
  <si>
    <t xml:space="preserve">GPS / radio tracking integration</t>
  </si>
  <si>
    <t xml:space="preserve">Plot responder positions from GPS devices or existing radio tracking.</t>
  </si>
  <si>
    <t xml:space="preserve">Done when: live positions update on the map at the agreed interval.</t>
  </si>
  <si>
    <t xml:space="preserve">After: NDRF / SDRF unit and capability registry (F1). Needs: NDRF tracking feed access.</t>
  </si>
  <si>
    <t xml:space="preserve">Forces on the 3D twin</t>
  </si>
  <si>
    <t xml:space="preserve">Show unit positions on the hazard simulation.</t>
  </si>
  <si>
    <t xml:space="preserve">Done when: units appear on the twin with status and last-seen time.</t>
  </si>
  <si>
    <t xml:space="preserve">After: GPS / radio tracking integration (F2); Timeline scrubber (rewind / fast-forward) (T6).</t>
  </si>
  <si>
    <t xml:space="preserve">19. Predictive Pre-positioning</t>
  </si>
  <si>
    <t xml:space="preserve">Staging</t>
  </si>
  <si>
    <t xml:space="preserve">Staging locations outside predicted zone</t>
  </si>
  <si>
    <t xml:space="preserve">Choose staging points that remain outside the predicted extent and are reachable.</t>
  </si>
  <si>
    <t xml:space="preserve">Done when: staging candidates stay valid across the whole forecast window.</t>
  </si>
  <si>
    <t xml:space="preserve">After: Critical-threshold and alert rules (M10); Candidate shelters outside the hazard zone (E5).</t>
  </si>
  <si>
    <t xml:space="preserve">Deployment Plans</t>
  </si>
  <si>
    <t xml:space="preserve">Auto-generated deployment plan</t>
  </si>
  <si>
    <t xml:space="preserve">When a zone crosses the critical threshold, recommend which units move, where and by when.</t>
  </si>
  <si>
    <t xml:space="preserve">Done when: plans are generated within 5 min of a threshold crossing.</t>
  </si>
  <si>
    <t xml:space="preserve">After: Staging locations outside predicted zone (F4); NDRF / SDRF unit and capability registry (F1).</t>
  </si>
  <si>
    <t xml:space="preserve">ETA estimation</t>
  </si>
  <si>
    <t xml:space="preserve">Estimated arrival times using hazard-aware routing.</t>
  </si>
  <si>
    <t xml:space="preserve">Done when: every plan shows ETAs that account for predicted closures.</t>
  </si>
  <si>
    <t xml:space="preserve">After: Auto-generated deployment plan (F5); Relief-vehicle routing with live traffic (E11).</t>
  </si>
  <si>
    <t xml:space="preserve">Human in the Loop</t>
  </si>
  <si>
    <t xml:space="preserve">Commander approval workflow</t>
  </si>
  <si>
    <t xml:space="preserve">Commanders accept, edit or reject recommendations; all decisions are logged.</t>
  </si>
  <si>
    <t xml:space="preserve">Done when: no recommendation is actioned without approval and every decision is audited.</t>
  </si>
  <si>
    <t xml:space="preserve">After: Auto-generated deployment plan (F5).</t>
  </si>
  <si>
    <t xml:space="preserve">20. Unified Command View</t>
  </si>
  <si>
    <t xml:space="preserve">SEOC Screen</t>
  </si>
  <si>
    <t xml:space="preserve">Unified SEOC command screen</t>
  </si>
  <si>
    <t xml:space="preserve">One screen with hazard zones, force deployments and ETAs, replacing radio check-ins.</t>
  </si>
  <si>
    <t xml:space="preserve">Done when: SEOC staff can run a full scenario from this one screen.</t>
  </si>
  <si>
    <t xml:space="preserve">After: Forces on the 3D twin (F3); ETA estimation (F6); Commander approval workflow (F7); Shelter demand vs capacity gap (E8).</t>
  </si>
  <si>
    <t xml:space="preserve">G – Command Dashboard &amp; Feedback Loop</t>
  </si>
  <si>
    <t xml:space="preserve">21. Dashboard UX</t>
  </si>
  <si>
    <t xml:space="preserve">UX Research</t>
  </si>
  <si>
    <t xml:space="preserve">Wireframes from user workflows</t>
  </si>
  <si>
    <t xml:space="preserve">Low-fidelity wireframes of all panels based on the workflow study.</t>
  </si>
  <si>
    <t xml:space="preserve">Done when: wireframes are reviewed with NDMA and SEOC users.</t>
  </si>
  <si>
    <t xml:space="preserve">After: User roles and operational workflows (P4).</t>
  </si>
  <si>
    <t xml:space="preserve">Design</t>
  </si>
  <si>
    <t xml:space="preserve">Design system and high-fidelity mockups</t>
  </si>
  <si>
    <t xml:space="preserve">Visual design, colour scales for risk, accessibility and control-room (large screen) layouts.</t>
  </si>
  <si>
    <t xml:space="preserve">Done when: mockups approved by NDMA.</t>
  </si>
  <si>
    <t xml:space="preserve">After: Wireframes from user workflows (U1).</t>
  </si>
  <si>
    <t xml:space="preserve">22. Dashboard Build</t>
  </si>
  <si>
    <t xml:space="preserve">Shell</t>
  </si>
  <si>
    <t xml:space="preserve">Dashboard shell (login, layout, layer toggles)</t>
  </si>
  <si>
    <t xml:space="preserve">Base app: SSO login, layout, map/twin container and layer controls.</t>
  </si>
  <si>
    <t xml:space="preserve">Done when: shell is deployed in test with SSO.</t>
  </si>
  <si>
    <t xml:space="preserve">After: Design system and high-fidelity mockups (U2); 3D engine selection and spike (T1); SSO, role-based access and audit logs (H3).</t>
  </si>
  <si>
    <t xml:space="preserve">Role-based views (NDMA, SEOC, DEOC, NDRF)</t>
  </si>
  <si>
    <t xml:space="preserve">Each role sees the panels and areas relevant to it.</t>
  </si>
  <si>
    <t xml:space="preserve">Done when: each role sees only its permitted views and data.</t>
  </si>
  <si>
    <t xml:space="preserve">After: Dashboard shell (login, layout, layer toggles) (U3).</t>
  </si>
  <si>
    <t xml:space="preserve">Panels</t>
  </si>
  <si>
    <t xml:space="preserve">Risk and alerts panel</t>
  </si>
  <si>
    <t xml:space="preserve">Per-zone risk scores, threshold alerts and confidence.</t>
  </si>
  <si>
    <t xml:space="preserve">Done when: alerts appear within one forecast cycle of a threshold crossing.</t>
  </si>
  <si>
    <t xml:space="preserve">After: Dashboard shell (login, layout, layer toggles) (U3); Critical-threshold and alert rules (M10).</t>
  </si>
  <si>
    <t xml:space="preserve">Impact panel</t>
  </si>
  <si>
    <t xml:space="preserve">Affected population, households, infrastructure and vulnerable pockets.</t>
  </si>
  <si>
    <t xml:space="preserve">Done when: panel matches the impact analysis outputs.</t>
  </si>
  <si>
    <t xml:space="preserve">After: Dashboard shell (login, layout, layer toggles) (U3); Vulnerable-pocket flagging (E4).</t>
  </si>
  <si>
    <t xml:space="preserve">Shelter panel</t>
  </si>
  <si>
    <t xml:space="preserve">Shelter recommendations, live capacity and gaps.</t>
  </si>
  <si>
    <t xml:space="preserve">Done when: operators can review, edit and lock a shelter plan.</t>
  </si>
  <si>
    <t xml:space="preserve">After: Dashboard shell (login, layout, layer toggles) (U3); Shelter demand vs capacity gap (E8).</t>
  </si>
  <si>
    <t xml:space="preserve">Route planning workspace</t>
  </si>
  <si>
    <t xml:space="preserve">Evacuation and relief routes with conflicts and export.</t>
  </si>
  <si>
    <t xml:space="preserve">Done when: operators can generate, compare and export route plans.</t>
  </si>
  <si>
    <t xml:space="preserve">After: Dashboard shell (login, layout, layer toggles) (U3); Citizen vs NDRF route conflict detection (E13); Export route and shelter plans for official channels (E14).</t>
  </si>
  <si>
    <t xml:space="preserve">Accessibility</t>
  </si>
  <si>
    <t xml:space="preserve">English / Hindi interface</t>
  </si>
  <si>
    <t xml:space="preserve">Bilingual labels and reports for district users.</t>
  </si>
  <si>
    <t xml:space="preserve">Done when: all labels and exports are available in English and Hindi.</t>
  </si>
  <si>
    <t xml:space="preserve">After: Role-based views (NDMA, SEOC, DEOC, NDRF) (U4).</t>
  </si>
  <si>
    <t xml:space="preserve">Low-bandwidth mode for district EOCs</t>
  </si>
  <si>
    <t xml:space="preserve">Lighter 2D fallback and cached tiles for poor connectivity.</t>
  </si>
  <si>
    <t xml:space="preserve">Done when: dashboard is usable at the agreed low-bandwidth profile.</t>
  </si>
  <si>
    <t xml:space="preserve">After: Role-based views (NDMA, SEOC, DEOC, NDRF) (U4); Performance on SEOC / district hardware (T8).</t>
  </si>
  <si>
    <t xml:space="preserve">23. Continuous Feedback</t>
  </si>
  <si>
    <t xml:space="preserve">Feedback Loop</t>
  </si>
  <si>
    <t xml:space="preserve">Ground reports update the forecast</t>
  </si>
  <si>
    <t xml:space="preserve">Verified ground reports adjust the observed state and trigger a re-forecast.</t>
  </si>
  <si>
    <t xml:space="preserve">Done when: a verified report changes the next forecast cycle and is traceable.</t>
  </si>
  <si>
    <t xml:space="preserve">After: Report verification and trust score (I20); Hour-by-hour hazard extents (M8).</t>
  </si>
  <si>
    <t xml:space="preserve">Sensor and force updates in near real time</t>
  </si>
  <si>
    <t xml:space="preserve">Live sensor and force-position updates refresh forecast, routes and plans.</t>
  </si>
  <si>
    <t xml:space="preserve">Done when: dashboard refreshes within the agreed latency after new data.</t>
  </si>
  <si>
    <t xml:space="preserve">After: Ground reports update the forecast (FB1); GPS / radio tracking integration (F2); Automatic recompute on forecast update (E12).</t>
  </si>
  <si>
    <t xml:space="preserve">Operator verification queue for reports</t>
  </si>
  <si>
    <t xml:space="preserve">Queue where operators confirm or reject low-trust reports.</t>
  </si>
  <si>
    <t xml:space="preserve">Done when: every low-trust report is reviewed or expires with a reason.</t>
  </si>
  <si>
    <t xml:space="preserve">After: Report verification and trust score (I20); Dashboard shell (login, layout, layer toggles) (U3).</t>
  </si>
  <si>
    <t xml:space="preserve">H – Platform, Security &amp; MLOps</t>
  </si>
  <si>
    <t xml:space="preserve">24. Infrastructure</t>
  </si>
  <si>
    <t xml:space="preserve">Hosting</t>
  </si>
  <si>
    <t xml:space="preserve">Hosting decision (MeghRaj / NIC / GovCloud)</t>
  </si>
  <si>
    <t xml:space="preserve">Choose a government-approved cloud with data residency in India.</t>
  </si>
  <si>
    <t xml:space="preserve">Done when: hosting is approved in writing and accounts are provisioned.</t>
  </si>
  <si>
    <t xml:space="preserve">After: Proposal walkthrough and sign-off with NDMA (P1). Needs: NDMA IT approval.</t>
  </si>
  <si>
    <t xml:space="preserve">Environments</t>
  </si>
  <si>
    <t xml:space="preserve">Dev / test / prod environments as code</t>
  </si>
  <si>
    <t xml:space="preserve">Infrastructure-as-code for all environments.</t>
  </si>
  <si>
    <t xml:space="preserve">Done when: environments can be rebuilt from code.</t>
  </si>
  <si>
    <t xml:space="preserve">After: Hosting decision (MeghRaj / NIC / GovCloud) (H0).</t>
  </si>
  <si>
    <t xml:space="preserve">Delivery</t>
  </si>
  <si>
    <t xml:space="preserve">CI/CD pipeline</t>
  </si>
  <si>
    <t xml:space="preserve">Automated tests, builds and deployments.</t>
  </si>
  <si>
    <t xml:space="preserve">Done when: every merge deploys to test automatically.</t>
  </si>
  <si>
    <t xml:space="preserve">After: Dev / test / prod environments as code (H1).</t>
  </si>
  <si>
    <t xml:space="preserve">Resilience</t>
  </si>
  <si>
    <t xml:space="preserve">Backup and disaster recovery</t>
  </si>
  <si>
    <t xml:space="preserve">Backups and a recovery plan — the system must stay up during disasters.</t>
  </si>
  <si>
    <t xml:space="preserve">Done when: restore drill succeeds within the agreed RTO/RPO.</t>
  </si>
  <si>
    <t xml:space="preserve">25. Security</t>
  </si>
  <si>
    <t xml:space="preserve">Access</t>
  </si>
  <si>
    <t xml:space="preserve">SSO, role-based access and audit logs</t>
  </si>
  <si>
    <t xml:space="preserve">Single sign-on, role-based permissions and audit trail of every action.</t>
  </si>
  <si>
    <t xml:space="preserve">Done when: all actions are attributable to a user in the audit log.</t>
  </si>
  <si>
    <t xml:space="preserve">Data Protection</t>
  </si>
  <si>
    <t xml:space="preserve">Encryption and secrets management</t>
  </si>
  <si>
    <t xml:space="preserve">Encrypt data at rest/in transit; keep keys in a secrets manager.</t>
  </si>
  <si>
    <t xml:space="preserve">Done when: no plaintext secrets in code or config; encryption verified.</t>
  </si>
  <si>
    <t xml:space="preserve">Audit</t>
  </si>
  <si>
    <t xml:space="preserve">Security audit (CERT-In empanelled auditor)</t>
  </si>
  <si>
    <t xml:space="preserve">Third-party security audit before any live use.</t>
  </si>
  <si>
    <t xml:space="preserve">Done when: audit passed with all high/critical findings closed.</t>
  </si>
  <si>
    <t xml:space="preserve">After: End-to-end integration testing (V1). Needs: auditor engagement.</t>
  </si>
  <si>
    <t xml:space="preserve">26. MLOps</t>
  </si>
  <si>
    <t xml:space="preserve">Registry</t>
  </si>
  <si>
    <t xml:space="preserve">Model registry and versioning</t>
  </si>
  <si>
    <t xml:space="preserve">Track every model version, data snapshot and config.</t>
  </si>
  <si>
    <t xml:space="preserve">Done when: every forecast is traceable to a model version.</t>
  </si>
  <si>
    <t xml:space="preserve">After: Dev / test / prod environments as code (H1); Gauge-level forecaster (6/12/24/48 h) (M4).</t>
  </si>
  <si>
    <t xml:space="preserve">Retraining</t>
  </si>
  <si>
    <t xml:space="preserve">Scheduled retraining and re-calibration</t>
  </si>
  <si>
    <t xml:space="preserve">Retrain on new seasons/events and promote only if it beats the current model.</t>
  </si>
  <si>
    <t xml:space="preserve">Done when: retraining runs on schedule and promotion is gated by backtest scores.</t>
  </si>
  <si>
    <t xml:space="preserve">After: Model registry and versioning (H6); Backtest against historical events (M11).</t>
  </si>
  <si>
    <t xml:space="preserve">Monitoring</t>
  </si>
  <si>
    <t xml:space="preserve">Monitoring (feeds, latency, failures, drift)</t>
  </si>
  <si>
    <t xml:space="preserve">Dashboards and alerts for feed staleness, forecast latency, failures and model drift.</t>
  </si>
  <si>
    <t xml:space="preserve">Done when: on-call is alerted for every agreed failure mode.</t>
  </si>
  <si>
    <t xml:space="preserve">After: Model registry and versioning (H6); Staleness, gap and outlier rules with alerts (I22).</t>
  </si>
  <si>
    <t xml:space="preserve">Load</t>
  </si>
  <si>
    <t xml:space="preserve">Load test for disaster-surge usage</t>
  </si>
  <si>
    <t xml:space="preserve">Test with surge traffic and data volumes expected during a live event.</t>
  </si>
  <si>
    <t xml:space="preserve">Done when: system meets latency targets at 3× expected peak.</t>
  </si>
  <si>
    <t xml:space="preserve">After: Unified SEOC command screen (F8).</t>
  </si>
  <si>
    <t xml:space="preserve">I – Pilot, Validation &amp; Rollout</t>
  </si>
  <si>
    <t xml:space="preserve">27. Testing</t>
  </si>
  <si>
    <t xml:space="preserve">Integration</t>
  </si>
  <si>
    <t xml:space="preserve">End-to-end integration testing</t>
  </si>
  <si>
    <t xml:space="preserve">Run the full chain: feeds → forecast → twin → impact → shelters/routes → force plans.</t>
  </si>
  <si>
    <t xml:space="preserve">Done when: all end-to-end test scenarios pass in the test environment.</t>
  </si>
  <si>
    <t xml:space="preserve">After: Unified SEOC command screen (F8); Risk and alerts panel (U5); Impact panel (U6); Shelter panel (U7); Route planning workspace (U8); Sensor and force updates in near real time (FB2); Operator verification queue for reports (FB3); Monitoring (feeds, latency, failures, drift) (H8).</t>
  </si>
  <si>
    <t xml:space="preserve">Tabletop</t>
  </si>
  <si>
    <t xml:space="preserve">Tabletop exercise with SEOC (simulated flood)</t>
  </si>
  <si>
    <t xml:space="preserve">Run a simulated flood with SEOC and DEOC staff using the dashboard.</t>
  </si>
  <si>
    <t xml:space="preserve">Done when: exercise completed and issues logged and triaged.</t>
  </si>
  <si>
    <t xml:space="preserve">After: End-to-end integration testing (V1).</t>
  </si>
  <si>
    <t xml:space="preserve">UAT</t>
  </si>
  <si>
    <t xml:space="preserve">User acceptance testing with NDMA / SEOC</t>
  </si>
  <si>
    <t xml:space="preserve">Formal UAT against the agreed success metrics.</t>
  </si>
  <si>
    <t xml:space="preserve">Done when: UAT sign-off received.</t>
  </si>
  <si>
    <t xml:space="preserve">After: Tabletop exercise with SEOC (simulated flood) (V2); Security audit (CERT-In empanelled auditor) (H4).</t>
  </si>
  <si>
    <t xml:space="preserve">28. Training &amp; Handover</t>
  </si>
  <si>
    <t xml:space="preserve">Training</t>
  </si>
  <si>
    <t xml:space="preserve">Operator training and SOPs</t>
  </si>
  <si>
    <t xml:space="preserve">Train NDMA, SEOC and DEOC operators; write SOPs for each workflow.</t>
  </si>
  <si>
    <t xml:space="preserve">Done when: all pilot operators trained and SOPs approved.</t>
  </si>
  <si>
    <t xml:space="preserve">After: User acceptance testing with NDMA / SEOC (V3).</t>
  </si>
  <si>
    <t xml:space="preserve">Documentation</t>
  </si>
  <si>
    <t xml:space="preserve">Technical documentation and runbooks</t>
  </si>
  <si>
    <t xml:space="preserve">Architecture, data and model docs; on-call runbooks.</t>
  </si>
  <si>
    <t xml:space="preserve">Done when: runbooks tested by someone outside the build team.</t>
  </si>
  <si>
    <t xml:space="preserve">29. Shadow-Mode Pilot</t>
  </si>
  <si>
    <t xml:space="preserve">Shadow Mode</t>
  </si>
  <si>
    <t xml:space="preserve">Shadow run through monsoon 2027</t>
  </si>
  <si>
    <t xml:space="preserve">Run the twin alongside existing processes in the pilot district; decisions are not driven by it yet.</t>
  </si>
  <si>
    <t xml:space="preserve">Done when: monsoon season run complete with forecast-vs-actual log for every event.</t>
  </si>
  <si>
    <t xml:space="preserve">After: Operator training and SOPs (V6); Technical documentation and runbooks (V7); Predicted vs observed side-by-side (T10); Model card and accuracy report (M12).</t>
  </si>
  <si>
    <t xml:space="preserve">Covers peak monsoon (Jul–Sep 2027). Proposal requires shadow mode before the twin drives live decisions.</t>
  </si>
  <si>
    <t xml:space="preserve">Go / No-Go</t>
  </si>
  <si>
    <t xml:space="preserve">Go / no-go review for live decision support</t>
  </si>
  <si>
    <t xml:space="preserve">Review shadow-mode results with NDMA against the acceptance bar.</t>
  </si>
  <si>
    <t xml:space="preserve">Done when: written go/no-go decision for live use.</t>
  </si>
  <si>
    <t xml:space="preserve">After: Shadow run through monsoon 2027 (V4).</t>
  </si>
  <si>
    <t xml:space="preserve">30. Phase 2 &amp; 3 Expansion</t>
  </si>
  <si>
    <t xml:space="preserve">Phase 2 – Hazards</t>
  </si>
  <si>
    <t xml:space="preserve">Landslide slope-stability model</t>
  </si>
  <si>
    <t xml:space="preserve">Rainfall-threshold and slope-stability model using soil moisture sensors.</t>
  </si>
  <si>
    <t xml:space="preserve">Done when: backtested on past landslides in a hill pilot district.</t>
  </si>
  <si>
    <t xml:space="preserve">After: Go / no-go review for live decision support (V5).</t>
  </si>
  <si>
    <t xml:space="preserve">Cyclone track and surge impact model</t>
  </si>
  <si>
    <t xml:space="preserve">Use IMD cyclone tracks for wind and storm-surge impact in a coastal district.</t>
  </si>
  <si>
    <t xml:space="preserve">Done when: backtested on past cyclones.</t>
  </si>
  <si>
    <t xml:space="preserve">Phase 2 – Inputs</t>
  </si>
  <si>
    <t xml:space="preserve">Soil moisture and structural health sensors</t>
  </si>
  <si>
    <t xml:space="preserve">Ingest soil moisture (slopes) and vibration/tilt (bridges, dams) telemetry.</t>
  </si>
  <si>
    <t xml:space="preserve">Done when: sensors stream with health checks and feed the landslide model.</t>
  </si>
  <si>
    <t xml:space="preserve">CCTV / traffic camera water-level estimation</t>
  </si>
  <si>
    <t xml:space="preserve">Computer vision on camera feeds to estimate flood depth and road conditions.</t>
  </si>
  <si>
    <t xml:space="preserve">Done when: CV estimates validated against gauges at test sites.</t>
  </si>
  <si>
    <t xml:space="preserve">Social media monitoring with NLP filtering</t>
  </si>
  <si>
    <t xml:space="preserve">Geotagged posts (X, Facebook, Instagram) filtered by NLP before being trusted.</t>
  </si>
  <si>
    <t xml:space="preserve">Done when: event-detection precision meets the agreed bar on past events.</t>
  </si>
  <si>
    <t xml:space="preserve">After: Go / no-go review for live decision support (V5). Needs: platform API access and privacy approval.</t>
  </si>
  <si>
    <t xml:space="preserve">SACHET app ground-reporting extension</t>
  </si>
  <si>
    <t xml:space="preserve">First-party ground reporting inside SACHET, feeding the same ingestion layer.</t>
  </si>
  <si>
    <t xml:space="preserve">Done when: SACHET reports arrive in the ingestion layer with consent.</t>
  </si>
  <si>
    <t xml:space="preserve">After: Go / no-go review for live decision support (V5). Needs: NDMA / C-DOT agreement for SACHET changes.</t>
  </si>
  <si>
    <t xml:space="preserve">Phase 3 – Scale-up</t>
  </si>
  <si>
    <t xml:space="preserve">Multi-district / state rollout plan</t>
  </si>
  <si>
    <t xml:space="preserve">Onboard additional districts using lessons from the pilot; DEM and sensor gap analysis per district.</t>
  </si>
  <si>
    <t xml:space="preserve">Done when: rollout plan with district order, data gaps and costs approved.</t>
  </si>
  <si>
    <t xml:space="preserve">After: Landslide slope-stability model (X1); Cyclone track and surge impact model (X2).</t>
  </si>
  <si>
    <t xml:space="preserve">Summary by Module</t>
  </si>
  <si>
    <t xml:space="preserve">All figures are formulas over the Tracker tab; they update as Status and dates change.</t>
  </si>
  <si>
    <t xml:space="preserve">Sub tasks</t>
  </si>
  <si>
    <t xml:space="preserve">In Progress</t>
  </si>
  <si>
    <t xml:space="preserve">Blocked</t>
  </si>
  <si>
    <t xml:space="preserve">% Done</t>
  </si>
  <si>
    <t xml:space="preserve">Total</t>
  </si>
  <si>
    <t xml:space="preserve">Key milestones</t>
  </si>
  <si>
    <t xml:space="preserve">Milestone</t>
  </si>
  <si>
    <t xml:space="preserve">Tracker row</t>
  </si>
  <si>
    <t xml:space="preserve">Target date</t>
  </si>
  <si>
    <t xml:space="preserve">NDMA sign-off on proposal</t>
  </si>
  <si>
    <t xml:space="preserve">Pilot district selected</t>
  </si>
  <si>
    <t xml:space="preserve">Core agency feeds live (IMD, CWC)</t>
  </si>
  <si>
    <t xml:space="preserve">Flood forecast backtest passed</t>
  </si>
  <si>
    <t xml:space="preserve">Digital twin animates forecast</t>
  </si>
  <si>
    <t xml:space="preserve">End-to-end integration test</t>
  </si>
  <si>
    <t xml:space="preserve">UAT sign-off</t>
  </si>
  <si>
    <t xml:space="preserve">Shadow mode complete (monsoon 2027)</t>
  </si>
  <si>
    <t xml:space="preserve">Go / no-go for live use</t>
  </si>
  <si>
    <t xml:space="preserve">Phase 3 rollout plan approved</t>
  </si>
  <si>
    <t xml:space="preserve">External Decisions &amp; Dependencies</t>
  </si>
  <si>
    <t xml:space="preserve">Everything the team needs from NDMA or another agency. 'Needed by' = start of the first task that waits on it (linked to the Tracker).</t>
  </si>
  <si>
    <t xml:space="preserve">#</t>
  </si>
  <si>
    <t xml:space="preserve">Decision / dependency</t>
  </si>
  <si>
    <t xml:space="preserve">Owner</t>
  </si>
  <si>
    <t xml:space="preserve">Blocks</t>
  </si>
  <si>
    <t xml:space="preserve">Needed by</t>
  </si>
  <si>
    <t xml:space="preserve">Notes</t>
  </si>
  <si>
    <t xml:space="preserve">Proposal walkthrough and sign-off</t>
  </si>
  <si>
    <t xml:space="preserve">NDMA</t>
  </si>
  <si>
    <t xml:space="preserve">Proposal walkthrough and sign-off with NDMA (P1)</t>
  </si>
  <si>
    <t xml:space="preserve">Open</t>
  </si>
  <si>
    <t xml:space="preserve">Nomination of candidate pilot districts</t>
  </si>
  <si>
    <t xml:space="preserve">NDMA / State SDMA</t>
  </si>
  <si>
    <t xml:space="preserve">Select Phase 1 pilot district (P2)</t>
  </si>
  <si>
    <t xml:space="preserve">Prefer a well-mapped, flood-prone district (terrain-resolution risk).</t>
  </si>
  <si>
    <t xml:space="preserve">Hosting / cloud approval (data residency in India)</t>
  </si>
  <si>
    <t xml:space="preserve">NDMA IT</t>
  </si>
  <si>
    <t xml:space="preserve">Hosting decision (MeghRaj / NIC / GovCloud) (H0)</t>
  </si>
  <si>
    <t xml:space="preserve">Blocks all environments.</t>
  </si>
  <si>
    <t xml:space="preserve">IMD data-sharing agreement (D1)</t>
  </si>
  <si>
    <t xml:space="preserve">Formal agreements from day one (inter-agency risk).</t>
  </si>
  <si>
    <t xml:space="preserve">CWC data-sharing agreement (D2)</t>
  </si>
  <si>
    <t xml:space="preserve">ISRO / NRSC imagery access</t>
  </si>
  <si>
    <t xml:space="preserve">NRSC</t>
  </si>
  <si>
    <t xml:space="preserve">ISRO / NRSC satellite data access (D3)</t>
  </si>
  <si>
    <t xml:space="preserve">Survey of India DEM licence</t>
  </si>
  <si>
    <t xml:space="preserve">Survey of India</t>
  </si>
  <si>
    <t xml:space="preserve">Survey of India high-resolution DEM licence (D4)</t>
  </si>
  <si>
    <t xml:space="preserve">Google Maps Platform budget</t>
  </si>
  <si>
    <t xml:space="preserve">NDMA Finance</t>
  </si>
  <si>
    <t xml:space="preserve">Google Maps Platform licence and billing (D6)</t>
  </si>
  <si>
    <t xml:space="preserve">Commercial imagery procurement</t>
  </si>
  <si>
    <t xml:space="preserve">NDMA Procurement</t>
  </si>
  <si>
    <t xml:space="preserve">Commercial high-resolution imagery procurement (D7)</t>
  </si>
  <si>
    <t xml:space="preserve">Phase 1 pilot district only.</t>
  </si>
  <si>
    <t xml:space="preserve">Privacy policy legal review (DPDP Act 2023)</t>
  </si>
  <si>
    <t xml:space="preserve">NDMA Legal</t>
  </si>
  <si>
    <t xml:space="preserve">Data governance and privacy policy (G1)</t>
  </si>
  <si>
    <t xml:space="preserve">IDRN inventory access</t>
  </si>
  <si>
    <t xml:space="preserve">NDMA / NIDM</t>
  </si>
  <si>
    <t xml:space="preserve">IDRN resource inventory import (I13)</t>
  </si>
  <si>
    <t xml:space="preserve">Pilot sensor feed access</t>
  </si>
  <si>
    <t xml:space="preserve">State water resources dept / vendor</t>
  </si>
  <si>
    <t xml:space="preserve">River / rain gauge sensor telemetry (pilot) (I14)</t>
  </si>
  <si>
    <t xml:space="preserve">WhatsApp Business API account</t>
  </si>
  <si>
    <t xml:space="preserve">WhatsApp ground-reporting bot (I17)</t>
  </si>
  <si>
    <t xml:space="preserve">NDRF / SDRF unit data and tracking feed</t>
  </si>
  <si>
    <t xml:space="preserve">NDRF / SDRF</t>
  </si>
  <si>
    <t xml:space="preserve">NDRF / SDRF unit and capability registry (F1); GPS / radio tracking integration (F2)</t>
  </si>
  <si>
    <t xml:space="preserve">SACHET / Cell Broadcast export format</t>
  </si>
  <si>
    <t xml:space="preserve">NDMA / C-DOT</t>
  </si>
  <si>
    <t xml:space="preserve">Export route and shelter plans for official channels (E14)</t>
  </si>
  <si>
    <t xml:space="preserve">Operators issue messages; system never auto-sends.</t>
  </si>
  <si>
    <t xml:space="preserve">Security auditor engagement</t>
  </si>
  <si>
    <t xml:space="preserve">Security audit (CERT-In empanelled auditor) (H4)</t>
  </si>
  <si>
    <t xml:space="preserve">CERT-In empanelled.</t>
  </si>
  <si>
    <t xml:space="preserve">Risk Register</t>
  </si>
  <si>
    <t xml:space="preserve">Risks 1–5 from proposal section 7; 6–8 added for delivery. Impact / Likelihood are initial team estimates — review with NDMA.</t>
  </si>
  <si>
    <t xml:space="preserve">Risk</t>
  </si>
  <si>
    <t xml:space="preserve">Impact</t>
  </si>
  <si>
    <t xml:space="preserve">Likelihood</t>
  </si>
  <si>
    <t xml:space="preserve">Mitigation</t>
  </si>
  <si>
    <t xml:space="preserve">Linked tasks</t>
  </si>
  <si>
    <t xml:space="preserve">Terrain data resolution — inconsistent elevation data distorts hazard-flow predictions.</t>
  </si>
  <si>
    <t xml:space="preserve">High</t>
  </si>
  <si>
    <t xml:space="preserve">Medium</t>
  </si>
  <si>
    <t xml:space="preserve">Launch Phase 1 in a single well-mapped pilot district before scaling.</t>
  </si>
  <si>
    <t xml:space="preserve">P2, D4, I9</t>
  </si>
  <si>
    <t xml:space="preserve">Crowdsourced data reliability — misinformation or false reports corrupt the model.</t>
  </si>
  <si>
    <t xml:space="preserve">Strict NLP/verification filtering and trust scores before ingestion; operator review queue.</t>
  </si>
  <si>
    <t xml:space="preserve">I20, FB3, X5</t>
  </si>
  <si>
    <t xml:space="preserve">Model trust &amp; validation — wrong predictions misdirect forces or plans.</t>
  </si>
  <si>
    <t xml:space="preserve">Backtest against historical data and run in shadow mode before live decisions.</t>
  </si>
  <si>
    <t xml:space="preserve">M11, T9, T10, V4, V5</t>
  </si>
  <si>
    <t xml:space="preserve">Data privacy &amp; consent — citizen location and social data create legal liability.</t>
  </si>
  <si>
    <t xml:space="preserve">Data-governance and privacy policy built alongside the technical build; consent on every report.</t>
  </si>
  <si>
    <t xml:space="preserve">G1, G2, G3</t>
  </si>
  <si>
    <t xml:space="preserve">Inter-agency coordination — IMD, CWC, ISRO use siloed, incompatible formats.</t>
  </si>
  <si>
    <t xml:space="preserve">Formal data-sharing agreements and a common schema from day one.</t>
  </si>
  <si>
    <t xml:space="preserve">D1, D2, D3, I1</t>
  </si>
  <si>
    <t xml:space="preserve">Agreement delays push the schedule (agency approvals are outside team control).</t>
  </si>
  <si>
    <t xml:space="preserve">Start agreements immediately after pilot selection; build on open data (Copernicus, OSM) meanwhile.</t>
  </si>
  <si>
    <t xml:space="preserve">D1–D7, I8</t>
  </si>
  <si>
    <t xml:space="preserve">Shadow-mode window depends on monsoon timing; a quiet season gives few events.</t>
  </si>
  <si>
    <t xml:space="preserve">Supplement with historical replays; extend shadow mode or add a second pilot basin if needed.</t>
  </si>
  <si>
    <t xml:space="preserve">V4, T9</t>
  </si>
  <si>
    <t xml:space="preserve">System unavailable during a live disaster (surge load, outages).</t>
  </si>
  <si>
    <t xml:space="preserve">Low</t>
  </si>
  <si>
    <t xml:space="preserve">Load testing at 3× peak, DR drill and low-bandwidth mode.</t>
  </si>
  <si>
    <t xml:space="preserve">H9, H10, U10</t>
  </si>
  <si>
    <t xml:space="preserve">Date</t>
  </si>
  <si>
    <t xml:space="preserve">Holiday</t>
  </si>
  <si>
    <t xml:space="preserve">Edit this list to match the NDMA gazetted holiday calendar; Working days on every tab uses A2:A40. The planned dates on the Tracker were scheduled with this list.</t>
  </si>
  <si>
    <t xml:space="preserve">Dussehra</t>
  </si>
  <si>
    <t xml:space="preserve">Christmas</t>
  </si>
  <si>
    <t xml:space="preserve">Republic Day</t>
  </si>
  <si>
    <t xml:space="preserve">Good Friday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</si>
</sst>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93F7F"/>
      <name val="Calibri"/>
      <family val="0"/>
      <charset val="1"/>
    </font>
    <font>
      <sz val="10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3F7F"/>
        <bgColor rgb="FF333399"/>
      </patternFill>
    </fill>
    <fill>
      <patternFill patternType="solid">
        <fgColor rgb="FFD8E8F9"/>
        <bgColor rgb="FFE0E0E0"/>
      </patternFill>
    </fill>
    <fill>
      <patternFill patternType="solid">
        <fgColor rgb="FFF4F4F4"/>
        <bgColor rgb="FFFFFFFF"/>
      </patternFill>
    </fill>
    <fill>
      <patternFill patternType="solid">
        <fgColor rgb="FFFFFFFF"/>
        <bgColor rgb="FFF4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0C6633"/>
      </font>
      <fill>
        <patternFill>
          <bgColor rgb="FFB7E0CC"/>
        </patternFill>
      </fill>
    </dxf>
    <dxf>
      <font>
        <b val="1"/>
        <color rgb="FF996600"/>
      </font>
      <fill>
        <patternFill>
          <bgColor rgb="FFFFEAB2"/>
        </patternFill>
      </fill>
    </dxf>
    <dxf>
      <font>
        <b val="1"/>
        <color rgb="FF595959"/>
      </font>
      <fill>
        <patternFill>
          <bgColor rgb="FFE0E0E0"/>
        </patternFill>
      </fill>
    </dxf>
    <dxf>
      <font>
        <b val="1"/>
        <color rgb="FFB21919"/>
      </font>
      <fill>
        <patternFill>
          <bgColor rgb="FFF4CCCC"/>
        </patternFill>
      </fill>
    </dxf>
    <dxf>
      <font>
        <b val="1"/>
        <color rgb="FFB2191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C6633"/>
      <rgbColor rgb="FFB7E0CC"/>
      <rgbColor rgb="FF808080"/>
      <rgbColor rgb="FF9999FF"/>
      <rgbColor rgb="FF993366"/>
      <rgbColor rgb="FFF4F4F4"/>
      <rgbColor rgb="FFD8E8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EA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93F7F"/>
      <rgbColor rgb="FF339966"/>
      <rgbColor rgb="FF003300"/>
      <rgbColor rgb="FF333300"/>
      <rgbColor rgb="FFB2191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4"/>
    <col collapsed="false" customWidth="true" hidden="false" outlineLevel="0" max="3" min="2" style="0" width="19.3"/>
    <col collapsed="false" customWidth="true" hidden="false" outlineLevel="0" max="4" min="4" style="0" width="32.9"/>
    <col collapsed="false" customWidth="true" hidden="false" outlineLevel="0" max="6" min="5" style="0" width="47.1"/>
    <col collapsed="false" customWidth="true" hidden="false" outlineLevel="0" max="9" min="7" style="0" width="11.39"/>
    <col collapsed="false" customWidth="true" hidden="false" outlineLevel="0" max="10" min="10" style="0" width="15"/>
    <col collapsed="false" customWidth="true" hidden="false" outlineLevel="0" max="13" min="11" style="0" width="32.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35.05" hidden="false" customHeight="true" outlineLevel="0" collapsed="false">
      <c r="A4" s="4" t="s">
        <v>15</v>
      </c>
      <c r="B4" s="5" t="s">
        <v>16</v>
      </c>
      <c r="C4" s="5" t="s">
        <v>17</v>
      </c>
      <c r="D4" s="6" t="s">
        <v>18</v>
      </c>
      <c r="E4" s="6" t="s">
        <v>19</v>
      </c>
      <c r="F4" s="6" t="s">
        <v>20</v>
      </c>
      <c r="G4" s="7" t="n">
        <v>46286</v>
      </c>
      <c r="H4" s="7" t="n">
        <v>46297</v>
      </c>
      <c r="I4" s="8" t="n">
        <f aca="false">NETWORKDAYS(G4,H4,Holidays!$A$2:$A$40)</f>
        <v>10</v>
      </c>
      <c r="J4" s="9" t="s">
        <v>21</v>
      </c>
      <c r="K4" s="6"/>
      <c r="L4" s="6"/>
      <c r="M4" s="6" t="s">
        <v>22</v>
      </c>
    </row>
    <row r="5" customFormat="false" ht="35.05" hidden="false" customHeight="false" outlineLevel="0" collapsed="false">
      <c r="A5" s="4"/>
      <c r="B5" s="4"/>
      <c r="C5" s="5"/>
      <c r="D5" s="6" t="s">
        <v>23</v>
      </c>
      <c r="E5" s="6" t="s">
        <v>24</v>
      </c>
      <c r="F5" s="6" t="s">
        <v>25</v>
      </c>
      <c r="G5" s="7" t="n">
        <v>46307</v>
      </c>
      <c r="H5" s="7" t="n">
        <v>46310</v>
      </c>
      <c r="I5" s="8" t="n">
        <f aca="false">NETWORKDAYS(G5,H5,Holidays!$A$2:$A$40)</f>
        <v>4</v>
      </c>
      <c r="J5" s="9" t="s">
        <v>26</v>
      </c>
      <c r="K5" s="6" t="s">
        <v>27</v>
      </c>
      <c r="L5" s="6"/>
      <c r="M5" s="6"/>
    </row>
    <row r="6" customFormat="false" ht="35.05" hidden="false" customHeight="true" outlineLevel="0" collapsed="false">
      <c r="A6" s="4"/>
      <c r="B6" s="4"/>
      <c r="C6" s="5" t="s">
        <v>28</v>
      </c>
      <c r="D6" s="6" t="s">
        <v>29</v>
      </c>
      <c r="E6" s="6" t="s">
        <v>30</v>
      </c>
      <c r="F6" s="6" t="s">
        <v>31</v>
      </c>
      <c r="G6" s="7" t="n">
        <v>46311</v>
      </c>
      <c r="H6" s="7" t="n">
        <v>46318</v>
      </c>
      <c r="I6" s="8" t="n">
        <f aca="false">NETWORKDAYS(G6,H6,Holidays!$A$2:$A$40)</f>
        <v>5</v>
      </c>
      <c r="J6" s="9" t="s">
        <v>26</v>
      </c>
      <c r="K6" s="6" t="s">
        <v>32</v>
      </c>
      <c r="L6" s="6"/>
      <c r="M6" s="6"/>
    </row>
    <row r="7" customFormat="false" ht="35.05" hidden="false" customHeight="false" outlineLevel="0" collapsed="false">
      <c r="A7" s="4"/>
      <c r="B7" s="4"/>
      <c r="C7" s="4"/>
      <c r="D7" s="6" t="s">
        <v>33</v>
      </c>
      <c r="E7" s="6" t="s">
        <v>34</v>
      </c>
      <c r="F7" s="6" t="s">
        <v>35</v>
      </c>
      <c r="G7" s="7" t="n">
        <v>46321</v>
      </c>
      <c r="H7" s="7" t="n">
        <v>46323</v>
      </c>
      <c r="I7" s="8" t="n">
        <f aca="false">NETWORKDAYS(G7,H7,Holidays!$A$2:$A$40)</f>
        <v>3</v>
      </c>
      <c r="J7" s="9" t="s">
        <v>26</v>
      </c>
      <c r="K7" s="6" t="s">
        <v>36</v>
      </c>
      <c r="L7" s="6"/>
      <c r="M7" s="6"/>
    </row>
    <row r="8" customFormat="false" ht="23.85" hidden="false" customHeight="false" outlineLevel="0" collapsed="false">
      <c r="A8" s="4"/>
      <c r="B8" s="4"/>
      <c r="C8" s="4"/>
      <c r="D8" s="6" t="s">
        <v>37</v>
      </c>
      <c r="E8" s="6" t="s">
        <v>38</v>
      </c>
      <c r="F8" s="6" t="s">
        <v>39</v>
      </c>
      <c r="G8" s="7" t="n">
        <v>46311</v>
      </c>
      <c r="H8" s="7" t="n">
        <v>46321</v>
      </c>
      <c r="I8" s="8" t="n">
        <f aca="false">NETWORKDAYS(G8,H8,Holidays!$A$2:$A$40)</f>
        <v>6</v>
      </c>
      <c r="J8" s="9" t="s">
        <v>26</v>
      </c>
      <c r="K8" s="6" t="s">
        <v>40</v>
      </c>
      <c r="L8" s="6"/>
      <c r="M8" s="6"/>
    </row>
    <row r="9" customFormat="false" ht="35.05" hidden="false" customHeight="false" outlineLevel="0" collapsed="false">
      <c r="A9" s="4"/>
      <c r="B9" s="5"/>
      <c r="C9" s="5"/>
      <c r="D9" s="6" t="s">
        <v>41</v>
      </c>
      <c r="E9" s="6" t="s">
        <v>42</v>
      </c>
      <c r="F9" s="6" t="s">
        <v>43</v>
      </c>
      <c r="G9" s="7" t="n">
        <v>46324</v>
      </c>
      <c r="H9" s="7" t="n">
        <v>46329</v>
      </c>
      <c r="I9" s="8" t="n">
        <f aca="false">NETWORKDAYS(G9,H9,Holidays!$A$2:$A$40)</f>
        <v>4</v>
      </c>
      <c r="J9" s="9" t="s">
        <v>26</v>
      </c>
      <c r="K9" s="6" t="s">
        <v>44</v>
      </c>
      <c r="L9" s="6"/>
      <c r="M9" s="6"/>
    </row>
    <row r="10" customFormat="false" ht="35.05" hidden="false" customHeight="true" outlineLevel="0" collapsed="false">
      <c r="A10" s="4"/>
      <c r="B10" s="5" t="s">
        <v>45</v>
      </c>
      <c r="C10" s="5" t="s">
        <v>46</v>
      </c>
      <c r="D10" s="6" t="s">
        <v>47</v>
      </c>
      <c r="E10" s="6" t="s">
        <v>48</v>
      </c>
      <c r="F10" s="6" t="s">
        <v>49</v>
      </c>
      <c r="G10" s="7" t="n">
        <v>46321</v>
      </c>
      <c r="H10" s="7" t="n">
        <v>46346</v>
      </c>
      <c r="I10" s="8" t="n">
        <f aca="false">NETWORKDAYS(G10,H10,Holidays!$A$2:$A$40)</f>
        <v>20</v>
      </c>
      <c r="J10" s="9" t="s">
        <v>26</v>
      </c>
      <c r="K10" s="6" t="s">
        <v>50</v>
      </c>
      <c r="L10" s="6"/>
      <c r="M10" s="6"/>
    </row>
    <row r="11" customFormat="false" ht="35.05" hidden="false" customHeight="false" outlineLevel="0" collapsed="false">
      <c r="A11" s="4"/>
      <c r="B11" s="4"/>
      <c r="C11" s="4"/>
      <c r="D11" s="6" t="s">
        <v>51</v>
      </c>
      <c r="E11" s="6" t="s">
        <v>52</v>
      </c>
      <c r="F11" s="6" t="s">
        <v>53</v>
      </c>
      <c r="G11" s="7" t="n">
        <v>46321</v>
      </c>
      <c r="H11" s="7" t="n">
        <v>46346</v>
      </c>
      <c r="I11" s="8" t="n">
        <f aca="false">NETWORKDAYS(G11,H11,Holidays!$A$2:$A$40)</f>
        <v>20</v>
      </c>
      <c r="J11" s="9" t="s">
        <v>26</v>
      </c>
      <c r="K11" s="6" t="s">
        <v>54</v>
      </c>
      <c r="L11" s="6"/>
      <c r="M11" s="6"/>
    </row>
    <row r="12" customFormat="false" ht="23.85" hidden="false" customHeight="false" outlineLevel="0" collapsed="false">
      <c r="A12" s="4"/>
      <c r="B12" s="4"/>
      <c r="C12" s="4"/>
      <c r="D12" s="6" t="s">
        <v>55</v>
      </c>
      <c r="E12" s="6" t="s">
        <v>56</v>
      </c>
      <c r="F12" s="6" t="s">
        <v>57</v>
      </c>
      <c r="G12" s="7" t="n">
        <v>46321</v>
      </c>
      <c r="H12" s="7" t="n">
        <v>46353</v>
      </c>
      <c r="I12" s="8" t="n">
        <f aca="false">NETWORKDAYS(G12,H12,Holidays!$A$2:$A$40)</f>
        <v>25</v>
      </c>
      <c r="J12" s="9" t="s">
        <v>26</v>
      </c>
      <c r="K12" s="6" t="s">
        <v>58</v>
      </c>
      <c r="L12" s="6"/>
      <c r="M12" s="6"/>
    </row>
    <row r="13" customFormat="false" ht="23.85" hidden="false" customHeight="false" outlineLevel="0" collapsed="false">
      <c r="A13" s="4"/>
      <c r="B13" s="4"/>
      <c r="C13" s="4"/>
      <c r="D13" s="6" t="s">
        <v>59</v>
      </c>
      <c r="E13" s="6" t="s">
        <v>60</v>
      </c>
      <c r="F13" s="6" t="s">
        <v>61</v>
      </c>
      <c r="G13" s="7" t="n">
        <v>46321</v>
      </c>
      <c r="H13" s="7" t="n">
        <v>46346</v>
      </c>
      <c r="I13" s="8" t="n">
        <f aca="false">NETWORKDAYS(G13,H13,Holidays!$A$2:$A$40)</f>
        <v>20</v>
      </c>
      <c r="J13" s="9" t="s">
        <v>26</v>
      </c>
      <c r="K13" s="6" t="s">
        <v>62</v>
      </c>
      <c r="L13" s="6"/>
      <c r="M13" s="6"/>
    </row>
    <row r="14" customFormat="false" ht="23.85" hidden="false" customHeight="false" outlineLevel="0" collapsed="false">
      <c r="A14" s="4"/>
      <c r="B14" s="4"/>
      <c r="C14" s="4"/>
      <c r="D14" s="6" t="s">
        <v>63</v>
      </c>
      <c r="E14" s="6" t="s">
        <v>64</v>
      </c>
      <c r="F14" s="6" t="s">
        <v>65</v>
      </c>
      <c r="G14" s="7" t="n">
        <v>46321</v>
      </c>
      <c r="H14" s="7" t="n">
        <v>46332</v>
      </c>
      <c r="I14" s="8" t="n">
        <f aca="false">NETWORKDAYS(G14,H14,Holidays!$A$2:$A$40)</f>
        <v>10</v>
      </c>
      <c r="J14" s="9" t="s">
        <v>26</v>
      </c>
      <c r="K14" s="6" t="s">
        <v>36</v>
      </c>
      <c r="L14" s="6"/>
      <c r="M14" s="6"/>
    </row>
    <row r="15" customFormat="false" ht="35.05" hidden="false" customHeight="false" outlineLevel="0" collapsed="false">
      <c r="A15" s="4"/>
      <c r="B15" s="4"/>
      <c r="C15" s="4"/>
      <c r="D15" s="6" t="s">
        <v>66</v>
      </c>
      <c r="E15" s="6" t="s">
        <v>67</v>
      </c>
      <c r="F15" s="6" t="s">
        <v>68</v>
      </c>
      <c r="G15" s="7" t="n">
        <v>46311</v>
      </c>
      <c r="H15" s="7" t="n">
        <v>46323</v>
      </c>
      <c r="I15" s="8" t="n">
        <f aca="false">NETWORKDAYS(G15,H15,Holidays!$A$2:$A$40)</f>
        <v>8</v>
      </c>
      <c r="J15" s="9" t="s">
        <v>26</v>
      </c>
      <c r="K15" s="6" t="s">
        <v>69</v>
      </c>
      <c r="L15" s="6"/>
      <c r="M15" s="6"/>
    </row>
    <row r="16" customFormat="false" ht="23.85" hidden="false" customHeight="false" outlineLevel="0" collapsed="false">
      <c r="A16" s="4"/>
      <c r="B16" s="4"/>
      <c r="C16" s="5"/>
      <c r="D16" s="6" t="s">
        <v>70</v>
      </c>
      <c r="E16" s="6" t="s">
        <v>71</v>
      </c>
      <c r="F16" s="6" t="s">
        <v>72</v>
      </c>
      <c r="G16" s="7" t="n">
        <v>46321</v>
      </c>
      <c r="H16" s="7" t="n">
        <v>46360</v>
      </c>
      <c r="I16" s="8" t="n">
        <f aca="false">NETWORKDAYS(G16,H16,Holidays!$A$2:$A$40)</f>
        <v>30</v>
      </c>
      <c r="J16" s="9" t="s">
        <v>26</v>
      </c>
      <c r="K16" s="6" t="s">
        <v>73</v>
      </c>
      <c r="L16" s="6" t="s">
        <v>74</v>
      </c>
      <c r="M16" s="6"/>
    </row>
    <row r="17" customFormat="false" ht="35.05" hidden="false" customHeight="true" outlineLevel="0" collapsed="false">
      <c r="A17" s="4"/>
      <c r="B17" s="4"/>
      <c r="C17" s="5" t="s">
        <v>75</v>
      </c>
      <c r="D17" s="6" t="s">
        <v>76</v>
      </c>
      <c r="E17" s="6" t="s">
        <v>77</v>
      </c>
      <c r="F17" s="6" t="s">
        <v>78</v>
      </c>
      <c r="G17" s="7" t="n">
        <v>46311</v>
      </c>
      <c r="H17" s="7" t="n">
        <v>46332</v>
      </c>
      <c r="I17" s="8" t="n">
        <f aca="false">NETWORKDAYS(G17,H17,Holidays!$A$2:$A$40)</f>
        <v>15</v>
      </c>
      <c r="J17" s="9" t="s">
        <v>26</v>
      </c>
      <c r="K17" s="6" t="s">
        <v>79</v>
      </c>
      <c r="L17" s="6" t="s">
        <v>80</v>
      </c>
      <c r="M17" s="6"/>
    </row>
    <row r="18" customFormat="false" ht="23.85" hidden="false" customHeight="false" outlineLevel="0" collapsed="false">
      <c r="A18" s="4"/>
      <c r="B18" s="4"/>
      <c r="C18" s="4"/>
      <c r="D18" s="6" t="s">
        <v>81</v>
      </c>
      <c r="E18" s="6" t="s">
        <v>82</v>
      </c>
      <c r="F18" s="6" t="s">
        <v>83</v>
      </c>
      <c r="G18" s="7" t="n">
        <v>46335</v>
      </c>
      <c r="H18" s="7" t="n">
        <v>46339</v>
      </c>
      <c r="I18" s="8" t="n">
        <f aca="false">NETWORKDAYS(G18,H18,Holidays!$A$2:$A$40)</f>
        <v>5</v>
      </c>
      <c r="J18" s="9" t="s">
        <v>26</v>
      </c>
      <c r="K18" s="6" t="s">
        <v>84</v>
      </c>
      <c r="L18" s="6"/>
      <c r="M18" s="6"/>
    </row>
    <row r="19" customFormat="false" ht="23.85" hidden="false" customHeight="false" outlineLevel="0" collapsed="false">
      <c r="A19" s="4"/>
      <c r="B19" s="4"/>
      <c r="C19" s="4"/>
      <c r="D19" s="6" t="s">
        <v>85</v>
      </c>
      <c r="E19" s="6" t="s">
        <v>86</v>
      </c>
      <c r="F19" s="6" t="s">
        <v>87</v>
      </c>
      <c r="G19" s="7" t="n">
        <v>46335</v>
      </c>
      <c r="H19" s="7" t="n">
        <v>46339</v>
      </c>
      <c r="I19" s="8" t="n">
        <f aca="false">NETWORKDAYS(G19,H19,Holidays!$A$2:$A$40)</f>
        <v>5</v>
      </c>
      <c r="J19" s="9" t="s">
        <v>26</v>
      </c>
      <c r="K19" s="6" t="s">
        <v>84</v>
      </c>
      <c r="L19" s="6"/>
      <c r="M19" s="6"/>
    </row>
    <row r="20" customFormat="false" ht="23.85" hidden="false" customHeight="true" outlineLevel="0" collapsed="false">
      <c r="A20" s="4" t="s">
        <v>88</v>
      </c>
      <c r="B20" s="5" t="s">
        <v>89</v>
      </c>
      <c r="C20" s="5" t="s">
        <v>90</v>
      </c>
      <c r="D20" s="6" t="s">
        <v>91</v>
      </c>
      <c r="E20" s="6" t="s">
        <v>92</v>
      </c>
      <c r="F20" s="6" t="s">
        <v>93</v>
      </c>
      <c r="G20" s="7" t="n">
        <v>46324</v>
      </c>
      <c r="H20" s="7" t="n">
        <v>46335</v>
      </c>
      <c r="I20" s="8" t="n">
        <f aca="false">NETWORKDAYS(G20,H20,Holidays!$A$2:$A$40)</f>
        <v>8</v>
      </c>
      <c r="J20" s="9" t="s">
        <v>26</v>
      </c>
      <c r="K20" s="6" t="s">
        <v>94</v>
      </c>
      <c r="L20" s="6"/>
      <c r="M20" s="6"/>
    </row>
    <row r="21" customFormat="false" ht="35.05" hidden="false" customHeight="true" outlineLevel="0" collapsed="false">
      <c r="A21" s="4"/>
      <c r="B21" s="4"/>
      <c r="C21" s="5" t="s">
        <v>95</v>
      </c>
      <c r="D21" s="6" t="s">
        <v>96</v>
      </c>
      <c r="E21" s="6" t="s">
        <v>97</v>
      </c>
      <c r="F21" s="6" t="s">
        <v>98</v>
      </c>
      <c r="G21" s="7" t="n">
        <v>46336</v>
      </c>
      <c r="H21" s="7" t="n">
        <v>46349</v>
      </c>
      <c r="I21" s="8" t="n">
        <f aca="false">NETWORKDAYS(G21,H21,Holidays!$A$2:$A$40)</f>
        <v>10</v>
      </c>
      <c r="J21" s="9" t="s">
        <v>26</v>
      </c>
      <c r="K21" s="6" t="s">
        <v>99</v>
      </c>
      <c r="L21" s="6"/>
      <c r="M21" s="6"/>
    </row>
    <row r="22" customFormat="false" ht="35.05" hidden="false" customHeight="false" outlineLevel="0" collapsed="false">
      <c r="A22" s="4"/>
      <c r="B22" s="4"/>
      <c r="C22" s="4"/>
      <c r="D22" s="6" t="s">
        <v>100</v>
      </c>
      <c r="E22" s="6" t="s">
        <v>101</v>
      </c>
      <c r="F22" s="6" t="s">
        <v>102</v>
      </c>
      <c r="G22" s="7" t="n">
        <v>46336</v>
      </c>
      <c r="H22" s="7" t="n">
        <v>46345</v>
      </c>
      <c r="I22" s="8" t="n">
        <f aca="false">NETWORKDAYS(G22,H22,Holidays!$A$2:$A$40)</f>
        <v>8</v>
      </c>
      <c r="J22" s="9" t="s">
        <v>26</v>
      </c>
      <c r="K22" s="6" t="s">
        <v>99</v>
      </c>
      <c r="L22" s="6"/>
      <c r="M22" s="6"/>
    </row>
    <row r="23" customFormat="false" ht="23.85" hidden="false" customHeight="false" outlineLevel="0" collapsed="false">
      <c r="A23" s="4"/>
      <c r="B23" s="5"/>
      <c r="C23" s="5"/>
      <c r="D23" s="6" t="s">
        <v>103</v>
      </c>
      <c r="E23" s="6" t="s">
        <v>104</v>
      </c>
      <c r="F23" s="6" t="s">
        <v>105</v>
      </c>
      <c r="G23" s="7" t="n">
        <v>46350</v>
      </c>
      <c r="H23" s="7" t="n">
        <v>46356</v>
      </c>
      <c r="I23" s="8" t="n">
        <f aca="false">NETWORKDAYS(G23,H23,Holidays!$A$2:$A$40)</f>
        <v>5</v>
      </c>
      <c r="J23" s="9" t="s">
        <v>26</v>
      </c>
      <c r="K23" s="6" t="s">
        <v>106</v>
      </c>
      <c r="L23" s="6"/>
      <c r="M23" s="6"/>
    </row>
    <row r="24" customFormat="false" ht="23.85" hidden="false" customHeight="true" outlineLevel="0" collapsed="false">
      <c r="A24" s="4"/>
      <c r="B24" s="5" t="s">
        <v>107</v>
      </c>
      <c r="C24" s="5" t="s">
        <v>108</v>
      </c>
      <c r="D24" s="6" t="s">
        <v>109</v>
      </c>
      <c r="E24" s="6" t="s">
        <v>110</v>
      </c>
      <c r="F24" s="6" t="s">
        <v>111</v>
      </c>
      <c r="G24" s="7" t="n">
        <v>46350</v>
      </c>
      <c r="H24" s="7" t="n">
        <v>46359</v>
      </c>
      <c r="I24" s="8" t="n">
        <f aca="false">NETWORKDAYS(G24,H24,Holidays!$A$2:$A$40)</f>
        <v>8</v>
      </c>
      <c r="J24" s="9" t="s">
        <v>26</v>
      </c>
      <c r="K24" s="6" t="s">
        <v>112</v>
      </c>
      <c r="L24" s="6"/>
      <c r="M24" s="6"/>
    </row>
    <row r="25" customFormat="false" ht="23.85" hidden="false" customHeight="false" outlineLevel="0" collapsed="false">
      <c r="A25" s="4"/>
      <c r="B25" s="4"/>
      <c r="C25" s="5" t="s">
        <v>113</v>
      </c>
      <c r="D25" s="6" t="s">
        <v>114</v>
      </c>
      <c r="E25" s="6" t="s">
        <v>115</v>
      </c>
      <c r="F25" s="6" t="s">
        <v>116</v>
      </c>
      <c r="G25" s="7" t="n">
        <v>46350</v>
      </c>
      <c r="H25" s="7" t="n">
        <v>46359</v>
      </c>
      <c r="I25" s="8" t="n">
        <f aca="false">NETWORKDAYS(G25,H25,Holidays!$A$2:$A$40)</f>
        <v>8</v>
      </c>
      <c r="J25" s="9" t="s">
        <v>26</v>
      </c>
      <c r="K25" s="6" t="s">
        <v>117</v>
      </c>
      <c r="L25" s="6"/>
      <c r="M25" s="6"/>
    </row>
    <row r="26" customFormat="false" ht="23.85" hidden="false" customHeight="false" outlineLevel="0" collapsed="false">
      <c r="A26" s="4"/>
      <c r="B26" s="4"/>
      <c r="C26" s="5" t="s">
        <v>118</v>
      </c>
      <c r="D26" s="6" t="s">
        <v>119</v>
      </c>
      <c r="E26" s="6" t="s">
        <v>120</v>
      </c>
      <c r="F26" s="6" t="s">
        <v>121</v>
      </c>
      <c r="G26" s="7" t="n">
        <v>46356</v>
      </c>
      <c r="H26" s="7" t="n">
        <v>46367</v>
      </c>
      <c r="I26" s="8" t="n">
        <f aca="false">NETWORKDAYS(G26,H26,Holidays!$A$2:$A$40)</f>
        <v>10</v>
      </c>
      <c r="J26" s="9" t="s">
        <v>26</v>
      </c>
      <c r="K26" s="6" t="s">
        <v>122</v>
      </c>
      <c r="L26" s="6"/>
      <c r="M26" s="6"/>
    </row>
    <row r="27" customFormat="false" ht="23.85" hidden="false" customHeight="false" outlineLevel="0" collapsed="false">
      <c r="A27" s="4"/>
      <c r="B27" s="5"/>
      <c r="C27" s="5" t="s">
        <v>123</v>
      </c>
      <c r="D27" s="6" t="s">
        <v>124</v>
      </c>
      <c r="E27" s="6" t="s">
        <v>125</v>
      </c>
      <c r="F27" s="6" t="s">
        <v>126</v>
      </c>
      <c r="G27" s="7" t="n">
        <v>46350</v>
      </c>
      <c r="H27" s="7" t="n">
        <v>46359</v>
      </c>
      <c r="I27" s="8" t="n">
        <f aca="false">NETWORKDAYS(G27,H27,Holidays!$A$2:$A$40)</f>
        <v>8</v>
      </c>
      <c r="J27" s="9" t="s">
        <v>26</v>
      </c>
      <c r="K27" s="6" t="s">
        <v>106</v>
      </c>
      <c r="L27" s="6"/>
      <c r="M27" s="6"/>
    </row>
    <row r="28" customFormat="false" ht="35.05" hidden="false" customHeight="true" outlineLevel="0" collapsed="false">
      <c r="A28" s="4"/>
      <c r="B28" s="5" t="s">
        <v>127</v>
      </c>
      <c r="C28" s="5" t="s">
        <v>128</v>
      </c>
      <c r="D28" s="6" t="s">
        <v>129</v>
      </c>
      <c r="E28" s="6" t="s">
        <v>130</v>
      </c>
      <c r="F28" s="6" t="s">
        <v>131</v>
      </c>
      <c r="G28" s="7" t="n">
        <v>46349</v>
      </c>
      <c r="H28" s="7" t="n">
        <v>46356</v>
      </c>
      <c r="I28" s="8" t="n">
        <f aca="false">NETWORKDAYS(G28,H28,Holidays!$A$2:$A$40)</f>
        <v>6</v>
      </c>
      <c r="J28" s="9" t="s">
        <v>26</v>
      </c>
      <c r="K28" s="6" t="s">
        <v>132</v>
      </c>
      <c r="L28" s="6"/>
      <c r="M28" s="6"/>
    </row>
    <row r="29" customFormat="false" ht="23.85" hidden="false" customHeight="false" outlineLevel="0" collapsed="false">
      <c r="A29" s="4"/>
      <c r="B29" s="4"/>
      <c r="C29" s="5" t="s">
        <v>133</v>
      </c>
      <c r="D29" s="6" t="s">
        <v>134</v>
      </c>
      <c r="E29" s="6" t="s">
        <v>135</v>
      </c>
      <c r="F29" s="6" t="s">
        <v>136</v>
      </c>
      <c r="G29" s="7" t="n">
        <v>46346</v>
      </c>
      <c r="H29" s="7" t="n">
        <v>46353</v>
      </c>
      <c r="I29" s="8" t="n">
        <f aca="false">NETWORKDAYS(G29,H29,Holidays!$A$2:$A$40)</f>
        <v>6</v>
      </c>
      <c r="J29" s="9" t="s">
        <v>26</v>
      </c>
      <c r="K29" s="6" t="s">
        <v>137</v>
      </c>
      <c r="L29" s="6"/>
      <c r="M29" s="6"/>
    </row>
    <row r="30" customFormat="false" ht="35.05" hidden="false" customHeight="false" outlineLevel="0" collapsed="false">
      <c r="A30" s="4"/>
      <c r="B30" s="4"/>
      <c r="C30" s="5" t="s">
        <v>138</v>
      </c>
      <c r="D30" s="6" t="s">
        <v>139</v>
      </c>
      <c r="E30" s="6" t="s">
        <v>140</v>
      </c>
      <c r="F30" s="6" t="s">
        <v>141</v>
      </c>
      <c r="G30" s="7" t="n">
        <v>46346</v>
      </c>
      <c r="H30" s="7" t="n">
        <v>46357</v>
      </c>
      <c r="I30" s="8" t="n">
        <f aca="false">NETWORKDAYS(G30,H30,Holidays!$A$2:$A$40)</f>
        <v>8</v>
      </c>
      <c r="J30" s="9" t="s">
        <v>26</v>
      </c>
      <c r="K30" s="6" t="s">
        <v>142</v>
      </c>
      <c r="L30" s="6"/>
      <c r="M30" s="6"/>
    </row>
    <row r="31" customFormat="false" ht="23.85" hidden="false" customHeight="false" outlineLevel="0" collapsed="false">
      <c r="A31" s="4"/>
      <c r="B31" s="4"/>
      <c r="C31" s="5" t="s">
        <v>143</v>
      </c>
      <c r="D31" s="6" t="s">
        <v>144</v>
      </c>
      <c r="E31" s="6" t="s">
        <v>145</v>
      </c>
      <c r="F31" s="6" t="s">
        <v>146</v>
      </c>
      <c r="G31" s="7" t="n">
        <v>46346</v>
      </c>
      <c r="H31" s="7" t="n">
        <v>46359</v>
      </c>
      <c r="I31" s="8" t="n">
        <f aca="false">NETWORKDAYS(G31,H31,Holidays!$A$2:$A$40)</f>
        <v>10</v>
      </c>
      <c r="J31" s="9" t="s">
        <v>26</v>
      </c>
      <c r="K31" s="6" t="s">
        <v>147</v>
      </c>
      <c r="L31" s="6" t="s">
        <v>148</v>
      </c>
      <c r="M31" s="6"/>
    </row>
    <row r="32" customFormat="false" ht="35.05" hidden="false" customHeight="false" outlineLevel="0" collapsed="false">
      <c r="A32" s="4"/>
      <c r="B32" s="5"/>
      <c r="C32" s="5" t="s">
        <v>149</v>
      </c>
      <c r="D32" s="6" t="s">
        <v>150</v>
      </c>
      <c r="E32" s="6" t="s">
        <v>151</v>
      </c>
      <c r="F32" s="6" t="s">
        <v>152</v>
      </c>
      <c r="G32" s="7" t="n">
        <v>46346</v>
      </c>
      <c r="H32" s="7" t="n">
        <v>46352</v>
      </c>
      <c r="I32" s="8" t="n">
        <f aca="false">NETWORKDAYS(G32,H32,Holidays!$A$2:$A$40)</f>
        <v>5</v>
      </c>
      <c r="J32" s="9" t="s">
        <v>26</v>
      </c>
      <c r="K32" s="6" t="s">
        <v>153</v>
      </c>
      <c r="L32" s="6"/>
      <c r="M32" s="6"/>
    </row>
    <row r="33" customFormat="false" ht="35.05" hidden="false" customHeight="true" outlineLevel="0" collapsed="false">
      <c r="A33" s="4"/>
      <c r="B33" s="5" t="s">
        <v>154</v>
      </c>
      <c r="C33" s="5" t="s">
        <v>155</v>
      </c>
      <c r="D33" s="6" t="s">
        <v>156</v>
      </c>
      <c r="E33" s="6" t="s">
        <v>157</v>
      </c>
      <c r="F33" s="6" t="s">
        <v>158</v>
      </c>
      <c r="G33" s="7" t="n">
        <v>46350</v>
      </c>
      <c r="H33" s="7" t="n">
        <v>46363</v>
      </c>
      <c r="I33" s="8" t="n">
        <f aca="false">NETWORKDAYS(G33,H33,Holidays!$A$2:$A$40)</f>
        <v>10</v>
      </c>
      <c r="J33" s="9" t="s">
        <v>26</v>
      </c>
      <c r="K33" s="6" t="s">
        <v>159</v>
      </c>
      <c r="L33" s="6"/>
      <c r="M33" s="6"/>
    </row>
    <row r="34" customFormat="false" ht="46.25" hidden="false" customHeight="true" outlineLevel="0" collapsed="false">
      <c r="A34" s="4"/>
      <c r="B34" s="4"/>
      <c r="C34" s="5" t="s">
        <v>160</v>
      </c>
      <c r="D34" s="6" t="s">
        <v>161</v>
      </c>
      <c r="E34" s="6" t="s">
        <v>162</v>
      </c>
      <c r="F34" s="6" t="s">
        <v>163</v>
      </c>
      <c r="G34" s="7" t="n">
        <v>46350</v>
      </c>
      <c r="H34" s="7" t="n">
        <v>46365</v>
      </c>
      <c r="I34" s="8" t="n">
        <f aca="false">NETWORKDAYS(G34,H34,Holidays!$A$2:$A$40)</f>
        <v>12</v>
      </c>
      <c r="J34" s="9" t="s">
        <v>26</v>
      </c>
      <c r="K34" s="6" t="s">
        <v>164</v>
      </c>
      <c r="L34" s="6"/>
      <c r="M34" s="6"/>
    </row>
    <row r="35" customFormat="false" ht="35.05" hidden="false" customHeight="false" outlineLevel="0" collapsed="false">
      <c r="A35" s="4"/>
      <c r="B35" s="5"/>
      <c r="C35" s="5"/>
      <c r="D35" s="6" t="s">
        <v>165</v>
      </c>
      <c r="E35" s="6" t="s">
        <v>166</v>
      </c>
      <c r="F35" s="6" t="s">
        <v>167</v>
      </c>
      <c r="G35" s="7" t="n">
        <v>46366</v>
      </c>
      <c r="H35" s="7" t="n">
        <v>46379</v>
      </c>
      <c r="I35" s="8" t="n">
        <f aca="false">NETWORKDAYS(G35,H35,Holidays!$A$2:$A$40)</f>
        <v>10</v>
      </c>
      <c r="J35" s="9" t="s">
        <v>26</v>
      </c>
      <c r="K35" s="6" t="s">
        <v>168</v>
      </c>
      <c r="L35" s="6" t="s">
        <v>169</v>
      </c>
      <c r="M35" s="6"/>
    </row>
    <row r="36" customFormat="false" ht="35.05" hidden="false" customHeight="true" outlineLevel="0" collapsed="false">
      <c r="A36" s="4"/>
      <c r="B36" s="5" t="s">
        <v>170</v>
      </c>
      <c r="C36" s="5" t="s">
        <v>171</v>
      </c>
      <c r="D36" s="6" t="s">
        <v>172</v>
      </c>
      <c r="E36" s="6" t="s">
        <v>173</v>
      </c>
      <c r="F36" s="6" t="s">
        <v>174</v>
      </c>
      <c r="G36" s="7" t="n">
        <v>46360</v>
      </c>
      <c r="H36" s="7" t="n">
        <v>46366</v>
      </c>
      <c r="I36" s="8" t="n">
        <f aca="false">NETWORKDAYS(G36,H36,Holidays!$A$2:$A$40)</f>
        <v>5</v>
      </c>
      <c r="J36" s="9" t="s">
        <v>26</v>
      </c>
      <c r="K36" s="6" t="s">
        <v>175</v>
      </c>
      <c r="L36" s="6"/>
      <c r="M36" s="6"/>
    </row>
    <row r="37" customFormat="false" ht="23.85" hidden="false" customHeight="false" outlineLevel="0" collapsed="false">
      <c r="A37" s="4"/>
      <c r="B37" s="4"/>
      <c r="C37" s="5" t="s">
        <v>176</v>
      </c>
      <c r="D37" s="6" t="s">
        <v>177</v>
      </c>
      <c r="E37" s="6" t="s">
        <v>178</v>
      </c>
      <c r="F37" s="6" t="s">
        <v>179</v>
      </c>
      <c r="G37" s="7" t="n">
        <v>46367</v>
      </c>
      <c r="H37" s="7" t="n">
        <v>46374</v>
      </c>
      <c r="I37" s="8" t="n">
        <f aca="false">NETWORKDAYS(G37,H37,Holidays!$A$2:$A$40)</f>
        <v>6</v>
      </c>
      <c r="J37" s="9" t="s">
        <v>26</v>
      </c>
      <c r="K37" s="6" t="s">
        <v>180</v>
      </c>
      <c r="L37" s="6"/>
      <c r="M37" s="6"/>
    </row>
    <row r="38" customFormat="false" ht="46.25" hidden="false" customHeight="true" outlineLevel="0" collapsed="false">
      <c r="A38" s="4" t="s">
        <v>181</v>
      </c>
      <c r="B38" s="5" t="s">
        <v>182</v>
      </c>
      <c r="C38" s="5" t="s">
        <v>183</v>
      </c>
      <c r="D38" s="6" t="s">
        <v>184</v>
      </c>
      <c r="E38" s="6" t="s">
        <v>185</v>
      </c>
      <c r="F38" s="6" t="s">
        <v>186</v>
      </c>
      <c r="G38" s="7" t="n">
        <v>46360</v>
      </c>
      <c r="H38" s="7" t="n">
        <v>46371</v>
      </c>
      <c r="I38" s="8" t="n">
        <f aca="false">NETWORKDAYS(G38,H38,Holidays!$A$2:$A$40)</f>
        <v>8</v>
      </c>
      <c r="J38" s="9" t="s">
        <v>26</v>
      </c>
      <c r="K38" s="6" t="s">
        <v>187</v>
      </c>
      <c r="L38" s="6"/>
      <c r="M38" s="6"/>
    </row>
    <row r="39" customFormat="false" ht="35.05" hidden="false" customHeight="false" outlineLevel="0" collapsed="false">
      <c r="A39" s="4"/>
      <c r="B39" s="5"/>
      <c r="C39" s="5" t="s">
        <v>188</v>
      </c>
      <c r="D39" s="6" t="s">
        <v>189</v>
      </c>
      <c r="E39" s="6" t="s">
        <v>190</v>
      </c>
      <c r="F39" s="6" t="s">
        <v>191</v>
      </c>
      <c r="G39" s="7" t="n">
        <v>46377</v>
      </c>
      <c r="H39" s="7" t="n">
        <v>46387</v>
      </c>
      <c r="I39" s="8" t="n">
        <f aca="false">NETWORKDAYS(G39,H39,Holidays!$A$2:$A$40)</f>
        <v>8</v>
      </c>
      <c r="J39" s="9" t="s">
        <v>26</v>
      </c>
      <c r="K39" s="6" t="s">
        <v>192</v>
      </c>
      <c r="L39" s="6"/>
      <c r="M39" s="6"/>
    </row>
    <row r="40" customFormat="false" ht="23.85" hidden="false" customHeight="true" outlineLevel="0" collapsed="false">
      <c r="A40" s="4"/>
      <c r="B40" s="5" t="s">
        <v>193</v>
      </c>
      <c r="C40" s="5" t="s">
        <v>194</v>
      </c>
      <c r="D40" s="6" t="s">
        <v>195</v>
      </c>
      <c r="E40" s="6" t="s">
        <v>196</v>
      </c>
      <c r="F40" s="6" t="s">
        <v>197</v>
      </c>
      <c r="G40" s="7" t="n">
        <v>46372</v>
      </c>
      <c r="H40" s="7" t="n">
        <v>46393</v>
      </c>
      <c r="I40" s="8" t="n">
        <f aca="false">NETWORKDAYS(G40,H40,Holidays!$A$2:$A$40)</f>
        <v>15</v>
      </c>
      <c r="J40" s="9" t="s">
        <v>26</v>
      </c>
      <c r="K40" s="6" t="s">
        <v>198</v>
      </c>
      <c r="L40" s="6"/>
      <c r="M40" s="6"/>
    </row>
    <row r="41" customFormat="false" ht="23.85" hidden="false" customHeight="false" outlineLevel="0" collapsed="false">
      <c r="A41" s="4"/>
      <c r="B41" s="4"/>
      <c r="C41" s="5" t="s">
        <v>199</v>
      </c>
      <c r="D41" s="6" t="s">
        <v>200</v>
      </c>
      <c r="E41" s="6" t="s">
        <v>201</v>
      </c>
      <c r="F41" s="6" t="s">
        <v>202</v>
      </c>
      <c r="G41" s="7" t="n">
        <v>46388</v>
      </c>
      <c r="H41" s="7" t="n">
        <v>46408</v>
      </c>
      <c r="I41" s="8" t="n">
        <f aca="false">NETWORKDAYS(G41,H41,Holidays!$A$2:$A$40)</f>
        <v>15</v>
      </c>
      <c r="J41" s="9" t="s">
        <v>26</v>
      </c>
      <c r="K41" s="6" t="s">
        <v>203</v>
      </c>
      <c r="L41" s="6"/>
      <c r="M41" s="6"/>
    </row>
    <row r="42" customFormat="false" ht="35.05" hidden="false" customHeight="false" outlineLevel="0" collapsed="false">
      <c r="A42" s="4"/>
      <c r="B42" s="4"/>
      <c r="C42" s="5" t="s">
        <v>204</v>
      </c>
      <c r="D42" s="6" t="s">
        <v>205</v>
      </c>
      <c r="E42" s="6" t="s">
        <v>206</v>
      </c>
      <c r="F42" s="6" t="s">
        <v>207</v>
      </c>
      <c r="G42" s="7" t="n">
        <v>46409</v>
      </c>
      <c r="H42" s="7" t="n">
        <v>46430</v>
      </c>
      <c r="I42" s="8" t="n">
        <f aca="false">NETWORKDAYS(G42,H42,Holidays!$A$2:$A$40)</f>
        <v>15</v>
      </c>
      <c r="J42" s="9" t="s">
        <v>26</v>
      </c>
      <c r="K42" s="6" t="s">
        <v>208</v>
      </c>
      <c r="L42" s="6"/>
      <c r="M42" s="6"/>
    </row>
    <row r="43" customFormat="false" ht="46.25" hidden="false" customHeight="false" outlineLevel="0" collapsed="false">
      <c r="A43" s="4"/>
      <c r="B43" s="5"/>
      <c r="C43" s="5" t="s">
        <v>209</v>
      </c>
      <c r="D43" s="6" t="s">
        <v>210</v>
      </c>
      <c r="E43" s="6" t="s">
        <v>211</v>
      </c>
      <c r="F43" s="6" t="s">
        <v>212</v>
      </c>
      <c r="G43" s="7" t="n">
        <v>46433</v>
      </c>
      <c r="H43" s="7" t="n">
        <v>46444</v>
      </c>
      <c r="I43" s="8" t="n">
        <f aca="false">NETWORKDAYS(G43,H43,Holidays!$A$2:$A$40)</f>
        <v>10</v>
      </c>
      <c r="J43" s="9" t="s">
        <v>26</v>
      </c>
      <c r="K43" s="6" t="s">
        <v>213</v>
      </c>
      <c r="L43" s="6"/>
      <c r="M43" s="6"/>
    </row>
    <row r="44" customFormat="false" ht="35.05" hidden="false" customHeight="true" outlineLevel="0" collapsed="false">
      <c r="A44" s="4"/>
      <c r="B44" s="5" t="s">
        <v>214</v>
      </c>
      <c r="C44" s="5" t="s">
        <v>215</v>
      </c>
      <c r="D44" s="6" t="s">
        <v>216</v>
      </c>
      <c r="E44" s="6" t="s">
        <v>217</v>
      </c>
      <c r="F44" s="6" t="s">
        <v>218</v>
      </c>
      <c r="G44" s="7" t="n">
        <v>46447</v>
      </c>
      <c r="H44" s="7" t="n">
        <v>46456</v>
      </c>
      <c r="I44" s="8" t="n">
        <f aca="false">NETWORKDAYS(G44,H44,Holidays!$A$2:$A$40)</f>
        <v>8</v>
      </c>
      <c r="J44" s="9" t="s">
        <v>26</v>
      </c>
      <c r="K44" s="6" t="s">
        <v>219</v>
      </c>
      <c r="L44" s="6"/>
      <c r="M44" s="6"/>
    </row>
    <row r="45" customFormat="false" ht="23.85" hidden="false" customHeight="false" outlineLevel="0" collapsed="false">
      <c r="A45" s="4"/>
      <c r="B45" s="4"/>
      <c r="C45" s="5" t="s">
        <v>220</v>
      </c>
      <c r="D45" s="6" t="s">
        <v>221</v>
      </c>
      <c r="E45" s="6" t="s">
        <v>222</v>
      </c>
      <c r="F45" s="6" t="s">
        <v>223</v>
      </c>
      <c r="G45" s="7" t="n">
        <v>46457</v>
      </c>
      <c r="H45" s="7" t="n">
        <v>46464</v>
      </c>
      <c r="I45" s="8" t="n">
        <f aca="false">NETWORKDAYS(G45,H45,Holidays!$A$2:$A$40)</f>
        <v>6</v>
      </c>
      <c r="J45" s="9" t="s">
        <v>26</v>
      </c>
      <c r="K45" s="6" t="s">
        <v>224</v>
      </c>
      <c r="L45" s="6"/>
      <c r="M45" s="6"/>
    </row>
    <row r="46" customFormat="false" ht="23.85" hidden="false" customHeight="false" outlineLevel="0" collapsed="false">
      <c r="A46" s="4"/>
      <c r="B46" s="4"/>
      <c r="C46" s="5" t="s">
        <v>225</v>
      </c>
      <c r="D46" s="6" t="s">
        <v>226</v>
      </c>
      <c r="E46" s="6" t="s">
        <v>227</v>
      </c>
      <c r="F46" s="6" t="s">
        <v>228</v>
      </c>
      <c r="G46" s="7" t="n">
        <v>46465</v>
      </c>
      <c r="H46" s="7" t="n">
        <v>46475</v>
      </c>
      <c r="I46" s="8" t="n">
        <f aca="false">NETWORKDAYS(G46,H46,Holidays!$A$2:$A$40)</f>
        <v>6</v>
      </c>
      <c r="J46" s="9" t="s">
        <v>26</v>
      </c>
      <c r="K46" s="6" t="s">
        <v>229</v>
      </c>
      <c r="L46" s="6"/>
      <c r="M46" s="6"/>
    </row>
    <row r="47" customFormat="false" ht="35.05" hidden="false" customHeight="false" outlineLevel="0" collapsed="false">
      <c r="A47" s="4"/>
      <c r="B47" s="5"/>
      <c r="C47" s="5" t="s">
        <v>230</v>
      </c>
      <c r="D47" s="6" t="s">
        <v>231</v>
      </c>
      <c r="E47" s="6" t="s">
        <v>232</v>
      </c>
      <c r="F47" s="6" t="s">
        <v>233</v>
      </c>
      <c r="G47" s="7" t="n">
        <v>46476</v>
      </c>
      <c r="H47" s="7" t="n">
        <v>46479</v>
      </c>
      <c r="I47" s="8" t="n">
        <f aca="false">NETWORKDAYS(G47,H47,Holidays!$A$2:$A$40)</f>
        <v>4</v>
      </c>
      <c r="J47" s="9" t="s">
        <v>26</v>
      </c>
      <c r="K47" s="6" t="s">
        <v>234</v>
      </c>
      <c r="L47" s="6"/>
      <c r="M47" s="6"/>
    </row>
    <row r="48" customFormat="false" ht="23.85" hidden="false" customHeight="true" outlineLevel="0" collapsed="false">
      <c r="A48" s="4"/>
      <c r="B48" s="5" t="s">
        <v>235</v>
      </c>
      <c r="C48" s="5" t="s">
        <v>236</v>
      </c>
      <c r="D48" s="6" t="s">
        <v>237</v>
      </c>
      <c r="E48" s="6" t="s">
        <v>238</v>
      </c>
      <c r="F48" s="6" t="s">
        <v>239</v>
      </c>
      <c r="G48" s="7" t="n">
        <v>46465</v>
      </c>
      <c r="H48" s="7" t="n">
        <v>46479</v>
      </c>
      <c r="I48" s="8" t="n">
        <f aca="false">NETWORKDAYS(G48,H48,Holidays!$A$2:$A$40)</f>
        <v>10</v>
      </c>
      <c r="J48" s="9" t="s">
        <v>26</v>
      </c>
      <c r="K48" s="6" t="s">
        <v>240</v>
      </c>
      <c r="L48" s="6" t="s">
        <v>241</v>
      </c>
      <c r="M48" s="6"/>
    </row>
    <row r="49" customFormat="false" ht="23.85" hidden="false" customHeight="false" outlineLevel="0" collapsed="false">
      <c r="A49" s="4"/>
      <c r="B49" s="4"/>
      <c r="C49" s="5" t="s">
        <v>242</v>
      </c>
      <c r="D49" s="6" t="s">
        <v>243</v>
      </c>
      <c r="E49" s="6" t="s">
        <v>244</v>
      </c>
      <c r="F49" s="6" t="s">
        <v>245</v>
      </c>
      <c r="G49" s="7" t="n">
        <v>46482</v>
      </c>
      <c r="H49" s="7" t="n">
        <v>46485</v>
      </c>
      <c r="I49" s="8" t="n">
        <f aca="false">NETWORKDAYS(G49,H49,Holidays!$A$2:$A$40)</f>
        <v>4</v>
      </c>
      <c r="J49" s="9" t="s">
        <v>26</v>
      </c>
      <c r="K49" s="6" t="s">
        <v>246</v>
      </c>
      <c r="L49" s="6"/>
      <c r="M49" s="6"/>
    </row>
    <row r="50" customFormat="false" ht="23.85" hidden="false" customHeight="true" outlineLevel="0" collapsed="false">
      <c r="A50" s="4" t="s">
        <v>247</v>
      </c>
      <c r="B50" s="5" t="s">
        <v>248</v>
      </c>
      <c r="C50" s="5" t="s">
        <v>249</v>
      </c>
      <c r="D50" s="6" t="s">
        <v>250</v>
      </c>
      <c r="E50" s="6" t="s">
        <v>251</v>
      </c>
      <c r="F50" s="6" t="s">
        <v>252</v>
      </c>
      <c r="G50" s="7" t="n">
        <v>46324</v>
      </c>
      <c r="H50" s="7" t="n">
        <v>46330</v>
      </c>
      <c r="I50" s="8" t="n">
        <f aca="false">NETWORKDAYS(G50,H50,Holidays!$A$2:$A$40)</f>
        <v>5</v>
      </c>
      <c r="J50" s="9" t="s">
        <v>26</v>
      </c>
      <c r="K50" s="6" t="s">
        <v>94</v>
      </c>
      <c r="L50" s="6"/>
      <c r="M50" s="6"/>
    </row>
    <row r="51" customFormat="false" ht="23.85" hidden="false" customHeight="false" outlineLevel="0" collapsed="false">
      <c r="A51" s="4"/>
      <c r="B51" s="4"/>
      <c r="C51" s="5" t="s">
        <v>128</v>
      </c>
      <c r="D51" s="6" t="s">
        <v>253</v>
      </c>
      <c r="E51" s="6" t="s">
        <v>254</v>
      </c>
      <c r="F51" s="6" t="s">
        <v>255</v>
      </c>
      <c r="G51" s="7" t="n">
        <v>46357</v>
      </c>
      <c r="H51" s="7" t="n">
        <v>46366</v>
      </c>
      <c r="I51" s="8" t="n">
        <f aca="false">NETWORKDAYS(G51,H51,Holidays!$A$2:$A$40)</f>
        <v>8</v>
      </c>
      <c r="J51" s="9" t="s">
        <v>26</v>
      </c>
      <c r="K51" s="6" t="s">
        <v>256</v>
      </c>
      <c r="L51" s="6"/>
      <c r="M51" s="6"/>
    </row>
    <row r="52" customFormat="false" ht="35.05" hidden="false" customHeight="false" outlineLevel="0" collapsed="false">
      <c r="A52" s="4"/>
      <c r="B52" s="4"/>
      <c r="C52" s="5" t="s">
        <v>138</v>
      </c>
      <c r="D52" s="6" t="s">
        <v>257</v>
      </c>
      <c r="E52" s="6" t="s">
        <v>258</v>
      </c>
      <c r="F52" s="6" t="s">
        <v>259</v>
      </c>
      <c r="G52" s="7" t="n">
        <v>46367</v>
      </c>
      <c r="H52" s="7" t="n">
        <v>46380</v>
      </c>
      <c r="I52" s="8" t="n">
        <f aca="false">NETWORKDAYS(G52,H52,Holidays!$A$2:$A$40)</f>
        <v>10</v>
      </c>
      <c r="J52" s="9" t="s">
        <v>26</v>
      </c>
      <c r="K52" s="6" t="s">
        <v>260</v>
      </c>
      <c r="L52" s="6"/>
      <c r="M52" s="6"/>
    </row>
    <row r="53" customFormat="false" ht="35.05" hidden="false" customHeight="false" outlineLevel="0" collapsed="false">
      <c r="A53" s="4"/>
      <c r="B53" s="5"/>
      <c r="C53" s="5" t="s">
        <v>261</v>
      </c>
      <c r="D53" s="6" t="s">
        <v>262</v>
      </c>
      <c r="E53" s="6" t="s">
        <v>263</v>
      </c>
      <c r="F53" s="6" t="s">
        <v>264</v>
      </c>
      <c r="G53" s="7" t="n">
        <v>46367</v>
      </c>
      <c r="H53" s="7" t="n">
        <v>46373</v>
      </c>
      <c r="I53" s="8" t="n">
        <f aca="false">NETWORKDAYS(G53,H53,Holidays!$A$2:$A$40)</f>
        <v>5</v>
      </c>
      <c r="J53" s="9" t="s">
        <v>26</v>
      </c>
      <c r="K53" s="6" t="s">
        <v>265</v>
      </c>
      <c r="L53" s="6"/>
      <c r="M53" s="6"/>
    </row>
    <row r="54" customFormat="false" ht="23.85" hidden="false" customHeight="true" outlineLevel="0" collapsed="false">
      <c r="A54" s="4"/>
      <c r="B54" s="5" t="s">
        <v>266</v>
      </c>
      <c r="C54" s="5" t="s">
        <v>267</v>
      </c>
      <c r="D54" s="6" t="s">
        <v>268</v>
      </c>
      <c r="E54" s="6" t="s">
        <v>269</v>
      </c>
      <c r="F54" s="6" t="s">
        <v>270</v>
      </c>
      <c r="G54" s="7" t="n">
        <v>46465</v>
      </c>
      <c r="H54" s="7" t="n">
        <v>46479</v>
      </c>
      <c r="I54" s="8" t="n">
        <f aca="false">NETWORKDAYS(G54,H54,Holidays!$A$2:$A$40)</f>
        <v>10</v>
      </c>
      <c r="J54" s="9" t="s">
        <v>26</v>
      </c>
      <c r="K54" s="6" t="s">
        <v>271</v>
      </c>
      <c r="L54" s="6"/>
      <c r="M54" s="6"/>
    </row>
    <row r="55" customFormat="false" ht="23.85" hidden="false" customHeight="false" outlineLevel="0" collapsed="false">
      <c r="A55" s="4"/>
      <c r="B55" s="4"/>
      <c r="C55" s="5" t="s">
        <v>272</v>
      </c>
      <c r="D55" s="6" t="s">
        <v>273</v>
      </c>
      <c r="E55" s="6" t="s">
        <v>274</v>
      </c>
      <c r="F55" s="6" t="s">
        <v>275</v>
      </c>
      <c r="G55" s="7" t="n">
        <v>46482</v>
      </c>
      <c r="H55" s="7" t="n">
        <v>46489</v>
      </c>
      <c r="I55" s="8" t="n">
        <f aca="false">NETWORKDAYS(G55,H55,Holidays!$A$2:$A$40)</f>
        <v>6</v>
      </c>
      <c r="J55" s="9" t="s">
        <v>26</v>
      </c>
      <c r="K55" s="6" t="s">
        <v>276</v>
      </c>
      <c r="L55" s="6"/>
      <c r="M55" s="6"/>
    </row>
    <row r="56" customFormat="false" ht="35.05" hidden="false" customHeight="false" outlineLevel="0" collapsed="false">
      <c r="A56" s="4"/>
      <c r="B56" s="4"/>
      <c r="C56" s="5" t="s">
        <v>277</v>
      </c>
      <c r="D56" s="6" t="s">
        <v>278</v>
      </c>
      <c r="E56" s="6" t="s">
        <v>279</v>
      </c>
      <c r="F56" s="6" t="s">
        <v>280</v>
      </c>
      <c r="G56" s="7" t="n">
        <v>46482</v>
      </c>
      <c r="H56" s="7" t="n">
        <v>46489</v>
      </c>
      <c r="I56" s="8" t="n">
        <f aca="false">NETWORKDAYS(G56,H56,Holidays!$A$2:$A$40)</f>
        <v>6</v>
      </c>
      <c r="J56" s="9" t="s">
        <v>26</v>
      </c>
      <c r="K56" s="6" t="s">
        <v>281</v>
      </c>
      <c r="L56" s="6"/>
      <c r="M56" s="6"/>
    </row>
    <row r="57" customFormat="false" ht="23.85" hidden="false" customHeight="false" outlineLevel="0" collapsed="false">
      <c r="A57" s="4"/>
      <c r="B57" s="5"/>
      <c r="C57" s="5" t="s">
        <v>282</v>
      </c>
      <c r="D57" s="6" t="s">
        <v>283</v>
      </c>
      <c r="E57" s="6" t="s">
        <v>284</v>
      </c>
      <c r="F57" s="6" t="s">
        <v>285</v>
      </c>
      <c r="G57" s="7" t="n">
        <v>46490</v>
      </c>
      <c r="H57" s="7" t="n">
        <v>46496</v>
      </c>
      <c r="I57" s="8" t="n">
        <f aca="false">NETWORKDAYS(G57,H57,Holidays!$A$2:$A$40)</f>
        <v>5</v>
      </c>
      <c r="J57" s="9" t="s">
        <v>26</v>
      </c>
      <c r="K57" s="6" t="s">
        <v>286</v>
      </c>
      <c r="L57" s="6"/>
      <c r="M57" s="6"/>
    </row>
    <row r="58" customFormat="false" ht="35.05" hidden="false" customHeight="true" outlineLevel="0" collapsed="false">
      <c r="A58" s="4"/>
      <c r="B58" s="5" t="s">
        <v>287</v>
      </c>
      <c r="C58" s="5" t="s">
        <v>288</v>
      </c>
      <c r="D58" s="6" t="s">
        <v>289</v>
      </c>
      <c r="E58" s="6" t="s">
        <v>290</v>
      </c>
      <c r="F58" s="6" t="s">
        <v>291</v>
      </c>
      <c r="G58" s="7" t="n">
        <v>46490</v>
      </c>
      <c r="H58" s="7" t="n">
        <v>46499</v>
      </c>
      <c r="I58" s="8" t="n">
        <f aca="false">NETWORKDAYS(G58,H58,Holidays!$A$2:$A$40)</f>
        <v>8</v>
      </c>
      <c r="J58" s="9" t="s">
        <v>26</v>
      </c>
      <c r="K58" s="6" t="s">
        <v>292</v>
      </c>
      <c r="L58" s="6"/>
      <c r="M58" s="6"/>
    </row>
    <row r="59" customFormat="false" ht="23.85" hidden="false" customHeight="false" outlineLevel="0" collapsed="false">
      <c r="A59" s="4"/>
      <c r="B59" s="4"/>
      <c r="C59" s="5" t="s">
        <v>293</v>
      </c>
      <c r="D59" s="6" t="s">
        <v>294</v>
      </c>
      <c r="E59" s="6" t="s">
        <v>295</v>
      </c>
      <c r="F59" s="6" t="s">
        <v>296</v>
      </c>
      <c r="G59" s="7" t="n">
        <v>46500</v>
      </c>
      <c r="H59" s="7" t="n">
        <v>46507</v>
      </c>
      <c r="I59" s="8" t="n">
        <f aca="false">NETWORKDAYS(G59,H59,Holidays!$A$2:$A$40)</f>
        <v>6</v>
      </c>
      <c r="J59" s="9" t="s">
        <v>26</v>
      </c>
      <c r="K59" s="6" t="s">
        <v>297</v>
      </c>
      <c r="L59" s="6"/>
      <c r="M59" s="6"/>
    </row>
    <row r="60" customFormat="false" ht="23.85" hidden="false" customHeight="true" outlineLevel="0" collapsed="false">
      <c r="A60" s="4" t="s">
        <v>298</v>
      </c>
      <c r="B60" s="5" t="s">
        <v>299</v>
      </c>
      <c r="C60" s="5" t="s">
        <v>300</v>
      </c>
      <c r="D60" s="6" t="s">
        <v>301</v>
      </c>
      <c r="E60" s="6" t="s">
        <v>302</v>
      </c>
      <c r="F60" s="6" t="s">
        <v>303</v>
      </c>
      <c r="G60" s="7" t="n">
        <v>46457</v>
      </c>
      <c r="H60" s="7" t="n">
        <v>46468</v>
      </c>
      <c r="I60" s="8" t="n">
        <f aca="false">NETWORKDAYS(G60,H60,Holidays!$A$2:$A$40)</f>
        <v>8</v>
      </c>
      <c r="J60" s="9" t="s">
        <v>26</v>
      </c>
      <c r="K60" s="6" t="s">
        <v>304</v>
      </c>
      <c r="L60" s="6"/>
      <c r="M60" s="6"/>
    </row>
    <row r="61" customFormat="false" ht="35.05" hidden="false" customHeight="false" outlineLevel="0" collapsed="false">
      <c r="A61" s="4"/>
      <c r="B61" s="4"/>
      <c r="C61" s="5" t="s">
        <v>138</v>
      </c>
      <c r="D61" s="6" t="s">
        <v>305</v>
      </c>
      <c r="E61" s="6" t="s">
        <v>306</v>
      </c>
      <c r="F61" s="6" t="s">
        <v>307</v>
      </c>
      <c r="G61" s="7" t="n">
        <v>46469</v>
      </c>
      <c r="H61" s="7" t="n">
        <v>46477</v>
      </c>
      <c r="I61" s="8" t="n">
        <f aca="false">NETWORKDAYS(G61,H61,Holidays!$A$2:$A$40)</f>
        <v>6</v>
      </c>
      <c r="J61" s="9" t="s">
        <v>26</v>
      </c>
      <c r="K61" s="6" t="s">
        <v>308</v>
      </c>
      <c r="L61" s="6"/>
      <c r="M61" s="6"/>
    </row>
    <row r="62" customFormat="false" ht="35.05" hidden="false" customHeight="false" outlineLevel="0" collapsed="false">
      <c r="A62" s="4"/>
      <c r="B62" s="4"/>
      <c r="C62" s="5" t="s">
        <v>309</v>
      </c>
      <c r="D62" s="6" t="s">
        <v>310</v>
      </c>
      <c r="E62" s="6" t="s">
        <v>311</v>
      </c>
      <c r="F62" s="6" t="s">
        <v>312</v>
      </c>
      <c r="G62" s="7" t="n">
        <v>46469</v>
      </c>
      <c r="H62" s="7" t="n">
        <v>46476</v>
      </c>
      <c r="I62" s="8" t="n">
        <f aca="false">NETWORKDAYS(G62,H62,Holidays!$A$2:$A$40)</f>
        <v>5</v>
      </c>
      <c r="J62" s="9" t="s">
        <v>26</v>
      </c>
      <c r="K62" s="6" t="s">
        <v>313</v>
      </c>
      <c r="L62" s="6"/>
      <c r="M62" s="6"/>
    </row>
    <row r="63" customFormat="false" ht="23.85" hidden="false" customHeight="false" outlineLevel="0" collapsed="false">
      <c r="A63" s="4"/>
      <c r="B63" s="5"/>
      <c r="C63" s="5" t="s">
        <v>314</v>
      </c>
      <c r="D63" s="6" t="s">
        <v>315</v>
      </c>
      <c r="E63" s="6" t="s">
        <v>316</v>
      </c>
      <c r="F63" s="6" t="s">
        <v>317</v>
      </c>
      <c r="G63" s="7" t="n">
        <v>46478</v>
      </c>
      <c r="H63" s="7" t="n">
        <v>46489</v>
      </c>
      <c r="I63" s="8" t="n">
        <f aca="false">NETWORKDAYS(G63,H63,Holidays!$A$2:$A$40)</f>
        <v>8</v>
      </c>
      <c r="J63" s="9" t="s">
        <v>26</v>
      </c>
      <c r="K63" s="6" t="s">
        <v>318</v>
      </c>
      <c r="L63" s="6"/>
      <c r="M63" s="6"/>
    </row>
    <row r="64" customFormat="false" ht="35.05" hidden="false" customHeight="true" outlineLevel="0" collapsed="false">
      <c r="A64" s="4"/>
      <c r="B64" s="5" t="s">
        <v>319</v>
      </c>
      <c r="C64" s="5" t="s">
        <v>320</v>
      </c>
      <c r="D64" s="6" t="s">
        <v>321</v>
      </c>
      <c r="E64" s="6" t="s">
        <v>322</v>
      </c>
      <c r="F64" s="6" t="s">
        <v>323</v>
      </c>
      <c r="G64" s="7" t="n">
        <v>46469</v>
      </c>
      <c r="H64" s="7" t="n">
        <v>46479</v>
      </c>
      <c r="I64" s="8" t="n">
        <f aca="false">NETWORKDAYS(G64,H64,Holidays!$A$2:$A$40)</f>
        <v>8</v>
      </c>
      <c r="J64" s="9" t="s">
        <v>26</v>
      </c>
      <c r="K64" s="6" t="s">
        <v>308</v>
      </c>
      <c r="L64" s="6"/>
      <c r="M64" s="6"/>
    </row>
    <row r="65" customFormat="false" ht="23.85" hidden="false" customHeight="false" outlineLevel="0" collapsed="false">
      <c r="A65" s="4"/>
      <c r="B65" s="4"/>
      <c r="C65" s="5"/>
      <c r="D65" s="6" t="s">
        <v>324</v>
      </c>
      <c r="E65" s="6" t="s">
        <v>325</v>
      </c>
      <c r="F65" s="6" t="s">
        <v>326</v>
      </c>
      <c r="G65" s="7" t="n">
        <v>46482</v>
      </c>
      <c r="H65" s="7" t="n">
        <v>46489</v>
      </c>
      <c r="I65" s="8" t="n">
        <f aca="false">NETWORKDAYS(G65,H65,Holidays!$A$2:$A$40)</f>
        <v>6</v>
      </c>
      <c r="J65" s="9" t="s">
        <v>26</v>
      </c>
      <c r="K65" s="6" t="s">
        <v>327</v>
      </c>
      <c r="L65" s="6"/>
      <c r="M65" s="6"/>
    </row>
    <row r="66" customFormat="false" ht="23.85" hidden="false" customHeight="true" outlineLevel="0" collapsed="false">
      <c r="A66" s="4"/>
      <c r="B66" s="4"/>
      <c r="C66" s="5" t="s">
        <v>328</v>
      </c>
      <c r="D66" s="6" t="s">
        <v>329</v>
      </c>
      <c r="E66" s="6" t="s">
        <v>330</v>
      </c>
      <c r="F66" s="6" t="s">
        <v>331</v>
      </c>
      <c r="G66" s="7" t="n">
        <v>46490</v>
      </c>
      <c r="H66" s="7" t="n">
        <v>46499</v>
      </c>
      <c r="I66" s="8" t="n">
        <f aca="false">NETWORKDAYS(G66,H66,Holidays!$A$2:$A$40)</f>
        <v>8</v>
      </c>
      <c r="J66" s="9" t="s">
        <v>26</v>
      </c>
      <c r="K66" s="6" t="s">
        <v>332</v>
      </c>
      <c r="L66" s="6"/>
      <c r="M66" s="6"/>
    </row>
    <row r="67" customFormat="false" ht="23.85" hidden="false" customHeight="false" outlineLevel="0" collapsed="false">
      <c r="A67" s="4"/>
      <c r="B67" s="5"/>
      <c r="C67" s="5"/>
      <c r="D67" s="6" t="s">
        <v>333</v>
      </c>
      <c r="E67" s="6" t="s">
        <v>334</v>
      </c>
      <c r="F67" s="6" t="s">
        <v>335</v>
      </c>
      <c r="G67" s="7" t="n">
        <v>46500</v>
      </c>
      <c r="H67" s="7" t="n">
        <v>46506</v>
      </c>
      <c r="I67" s="8" t="n">
        <f aca="false">NETWORKDAYS(G67,H67,Holidays!$A$2:$A$40)</f>
        <v>5</v>
      </c>
      <c r="J67" s="9" t="s">
        <v>26</v>
      </c>
      <c r="K67" s="6" t="s">
        <v>336</v>
      </c>
      <c r="L67" s="6"/>
      <c r="M67" s="6"/>
    </row>
    <row r="68" customFormat="false" ht="35.05" hidden="false" customHeight="true" outlineLevel="0" collapsed="false">
      <c r="A68" s="4"/>
      <c r="B68" s="5" t="s">
        <v>337</v>
      </c>
      <c r="C68" s="5" t="s">
        <v>338</v>
      </c>
      <c r="D68" s="6" t="s">
        <v>339</v>
      </c>
      <c r="E68" s="6" t="s">
        <v>340</v>
      </c>
      <c r="F68" s="6" t="s">
        <v>341</v>
      </c>
      <c r="G68" s="7" t="n">
        <v>46465</v>
      </c>
      <c r="H68" s="7" t="n">
        <v>46479</v>
      </c>
      <c r="I68" s="8" t="n">
        <f aca="false">NETWORKDAYS(G68,H68,Holidays!$A$2:$A$40)</f>
        <v>10</v>
      </c>
      <c r="J68" s="9" t="s">
        <v>26</v>
      </c>
      <c r="K68" s="6" t="s">
        <v>342</v>
      </c>
      <c r="L68" s="6"/>
      <c r="M68" s="6"/>
    </row>
    <row r="69" customFormat="false" ht="35.05" hidden="false" customHeight="true" outlineLevel="0" collapsed="false">
      <c r="A69" s="4"/>
      <c r="B69" s="4"/>
      <c r="C69" s="5" t="s">
        <v>343</v>
      </c>
      <c r="D69" s="6" t="s">
        <v>344</v>
      </c>
      <c r="E69" s="6" t="s">
        <v>345</v>
      </c>
      <c r="F69" s="6" t="s">
        <v>346</v>
      </c>
      <c r="G69" s="7" t="n">
        <v>46490</v>
      </c>
      <c r="H69" s="7" t="n">
        <v>46499</v>
      </c>
      <c r="I69" s="8" t="n">
        <f aca="false">NETWORKDAYS(G69,H69,Holidays!$A$2:$A$40)</f>
        <v>8</v>
      </c>
      <c r="J69" s="9" t="s">
        <v>26</v>
      </c>
      <c r="K69" s="6" t="s">
        <v>347</v>
      </c>
      <c r="L69" s="6"/>
      <c r="M69" s="6"/>
    </row>
    <row r="70" customFormat="false" ht="35.05" hidden="false" customHeight="false" outlineLevel="0" collapsed="false">
      <c r="A70" s="4"/>
      <c r="B70" s="4"/>
      <c r="C70" s="4"/>
      <c r="D70" s="6" t="s">
        <v>348</v>
      </c>
      <c r="E70" s="6" t="s">
        <v>349</v>
      </c>
      <c r="F70" s="6" t="s">
        <v>350</v>
      </c>
      <c r="G70" s="7" t="n">
        <v>46500</v>
      </c>
      <c r="H70" s="7" t="n">
        <v>46507</v>
      </c>
      <c r="I70" s="8" t="n">
        <f aca="false">NETWORKDAYS(G70,H70,Holidays!$A$2:$A$40)</f>
        <v>6</v>
      </c>
      <c r="J70" s="9" t="s">
        <v>26</v>
      </c>
      <c r="K70" s="6" t="s">
        <v>351</v>
      </c>
      <c r="L70" s="6"/>
      <c r="M70" s="6"/>
    </row>
    <row r="71" customFormat="false" ht="23.85" hidden="false" customHeight="false" outlineLevel="0" collapsed="false">
      <c r="A71" s="4"/>
      <c r="B71" s="4"/>
      <c r="C71" s="5"/>
      <c r="D71" s="6" t="s">
        <v>352</v>
      </c>
      <c r="E71" s="6" t="s">
        <v>353</v>
      </c>
      <c r="F71" s="6" t="s">
        <v>354</v>
      </c>
      <c r="G71" s="7" t="n">
        <v>46500</v>
      </c>
      <c r="H71" s="7" t="n">
        <v>46506</v>
      </c>
      <c r="I71" s="8" t="n">
        <f aca="false">NETWORKDAYS(G71,H71,Holidays!$A$2:$A$40)</f>
        <v>5</v>
      </c>
      <c r="J71" s="9" t="s">
        <v>26</v>
      </c>
      <c r="K71" s="6" t="s">
        <v>355</v>
      </c>
      <c r="L71" s="6"/>
      <c r="M71" s="6"/>
    </row>
    <row r="72" customFormat="false" ht="23.85" hidden="false" customHeight="false" outlineLevel="0" collapsed="false">
      <c r="A72" s="4"/>
      <c r="B72" s="4"/>
      <c r="C72" s="5" t="s">
        <v>356</v>
      </c>
      <c r="D72" s="6" t="s">
        <v>357</v>
      </c>
      <c r="E72" s="6" t="s">
        <v>358</v>
      </c>
      <c r="F72" s="6" t="s">
        <v>359</v>
      </c>
      <c r="G72" s="7" t="n">
        <v>46510</v>
      </c>
      <c r="H72" s="7" t="n">
        <v>46517</v>
      </c>
      <c r="I72" s="8" t="n">
        <f aca="false">NETWORKDAYS(G72,H72,Holidays!$A$2:$A$40)</f>
        <v>6</v>
      </c>
      <c r="J72" s="9" t="s">
        <v>26</v>
      </c>
      <c r="K72" s="6" t="s">
        <v>360</v>
      </c>
      <c r="L72" s="6"/>
      <c r="M72" s="6"/>
    </row>
    <row r="73" customFormat="false" ht="46.25" hidden="false" customHeight="false" outlineLevel="0" collapsed="false">
      <c r="A73" s="4"/>
      <c r="B73" s="4"/>
      <c r="C73" s="5" t="s">
        <v>361</v>
      </c>
      <c r="D73" s="6" t="s">
        <v>362</v>
      </c>
      <c r="E73" s="6" t="s">
        <v>363</v>
      </c>
      <c r="F73" s="6" t="s">
        <v>364</v>
      </c>
      <c r="G73" s="7" t="n">
        <v>46507</v>
      </c>
      <c r="H73" s="7" t="n">
        <v>46512</v>
      </c>
      <c r="I73" s="8" t="n">
        <f aca="false">NETWORKDAYS(G73,H73,Holidays!$A$2:$A$40)</f>
        <v>4</v>
      </c>
      <c r="J73" s="9" t="s">
        <v>26</v>
      </c>
      <c r="K73" s="6" t="s">
        <v>365</v>
      </c>
      <c r="L73" s="6"/>
      <c r="M73" s="6"/>
    </row>
    <row r="74" customFormat="false" ht="23.85" hidden="false" customHeight="true" outlineLevel="0" collapsed="false">
      <c r="A74" s="4" t="s">
        <v>366</v>
      </c>
      <c r="B74" s="5" t="s">
        <v>367</v>
      </c>
      <c r="C74" s="5" t="s">
        <v>368</v>
      </c>
      <c r="D74" s="6" t="s">
        <v>369</v>
      </c>
      <c r="E74" s="6" t="s">
        <v>370</v>
      </c>
      <c r="F74" s="6" t="s">
        <v>371</v>
      </c>
      <c r="G74" s="7" t="n">
        <v>46353</v>
      </c>
      <c r="H74" s="7" t="n">
        <v>46359</v>
      </c>
      <c r="I74" s="8" t="n">
        <f aca="false">NETWORKDAYS(G74,H74,Holidays!$A$2:$A$40)</f>
        <v>5</v>
      </c>
      <c r="J74" s="9" t="s">
        <v>26</v>
      </c>
      <c r="K74" s="6" t="s">
        <v>372</v>
      </c>
      <c r="L74" s="6"/>
      <c r="M74" s="6"/>
    </row>
    <row r="75" customFormat="false" ht="35.05" hidden="false" customHeight="true" outlineLevel="0" collapsed="false">
      <c r="A75" s="4"/>
      <c r="B75" s="4"/>
      <c r="C75" s="5" t="s">
        <v>373</v>
      </c>
      <c r="D75" s="6" t="s">
        <v>374</v>
      </c>
      <c r="E75" s="6" t="s">
        <v>375</v>
      </c>
      <c r="F75" s="6" t="s">
        <v>376</v>
      </c>
      <c r="G75" s="7" t="n">
        <v>46360</v>
      </c>
      <c r="H75" s="7" t="n">
        <v>46373</v>
      </c>
      <c r="I75" s="8" t="n">
        <f aca="false">NETWORKDAYS(G75,H75,Holidays!$A$2:$A$40)</f>
        <v>10</v>
      </c>
      <c r="J75" s="9" t="s">
        <v>26</v>
      </c>
      <c r="K75" s="6" t="s">
        <v>377</v>
      </c>
      <c r="L75" s="6"/>
      <c r="M75" s="6"/>
    </row>
    <row r="76" customFormat="false" ht="35.05" hidden="false" customHeight="false" outlineLevel="0" collapsed="false">
      <c r="A76" s="4"/>
      <c r="B76" s="5"/>
      <c r="C76" s="5"/>
      <c r="D76" s="6" t="s">
        <v>378</v>
      </c>
      <c r="E76" s="6" t="s">
        <v>379</v>
      </c>
      <c r="F76" s="6" t="s">
        <v>380</v>
      </c>
      <c r="G76" s="7" t="n">
        <v>46490</v>
      </c>
      <c r="H76" s="7" t="n">
        <v>46496</v>
      </c>
      <c r="I76" s="8" t="n">
        <f aca="false">NETWORKDAYS(G76,H76,Holidays!$A$2:$A$40)</f>
        <v>5</v>
      </c>
      <c r="J76" s="9" t="s">
        <v>26</v>
      </c>
      <c r="K76" s="6" t="s">
        <v>381</v>
      </c>
      <c r="L76" s="6"/>
      <c r="M76" s="6"/>
    </row>
    <row r="77" customFormat="false" ht="35.05" hidden="false" customHeight="true" outlineLevel="0" collapsed="false">
      <c r="A77" s="4"/>
      <c r="B77" s="5" t="s">
        <v>382</v>
      </c>
      <c r="C77" s="5" t="s">
        <v>383</v>
      </c>
      <c r="D77" s="6" t="s">
        <v>384</v>
      </c>
      <c r="E77" s="6" t="s">
        <v>385</v>
      </c>
      <c r="F77" s="6" t="s">
        <v>386</v>
      </c>
      <c r="G77" s="7" t="n">
        <v>46482</v>
      </c>
      <c r="H77" s="7" t="n">
        <v>46491</v>
      </c>
      <c r="I77" s="8" t="n">
        <f aca="false">NETWORKDAYS(G77,H77,Holidays!$A$2:$A$40)</f>
        <v>8</v>
      </c>
      <c r="J77" s="9" t="s">
        <v>26</v>
      </c>
      <c r="K77" s="6" t="s">
        <v>387</v>
      </c>
      <c r="L77" s="6"/>
      <c r="M77" s="6"/>
    </row>
    <row r="78" customFormat="false" ht="35.05" hidden="false" customHeight="true" outlineLevel="0" collapsed="false">
      <c r="A78" s="4"/>
      <c r="B78" s="4"/>
      <c r="C78" s="5" t="s">
        <v>388</v>
      </c>
      <c r="D78" s="6" t="s">
        <v>389</v>
      </c>
      <c r="E78" s="6" t="s">
        <v>390</v>
      </c>
      <c r="F78" s="6" t="s">
        <v>391</v>
      </c>
      <c r="G78" s="7" t="n">
        <v>46492</v>
      </c>
      <c r="H78" s="7" t="n">
        <v>46505</v>
      </c>
      <c r="I78" s="8" t="n">
        <f aca="false">NETWORKDAYS(G78,H78,Holidays!$A$2:$A$40)</f>
        <v>10</v>
      </c>
      <c r="J78" s="9" t="s">
        <v>26</v>
      </c>
      <c r="K78" s="6" t="s">
        <v>392</v>
      </c>
      <c r="L78" s="6"/>
      <c r="M78" s="6"/>
    </row>
    <row r="79" customFormat="false" ht="35.05" hidden="false" customHeight="false" outlineLevel="0" collapsed="false">
      <c r="A79" s="4"/>
      <c r="B79" s="4"/>
      <c r="C79" s="5"/>
      <c r="D79" s="6" t="s">
        <v>393</v>
      </c>
      <c r="E79" s="6" t="s">
        <v>394</v>
      </c>
      <c r="F79" s="6" t="s">
        <v>395</v>
      </c>
      <c r="G79" s="7" t="n">
        <v>46510</v>
      </c>
      <c r="H79" s="7" t="n">
        <v>46514</v>
      </c>
      <c r="I79" s="8" t="n">
        <f aca="false">NETWORKDAYS(G79,H79,Holidays!$A$2:$A$40)</f>
        <v>5</v>
      </c>
      <c r="J79" s="9" t="s">
        <v>26</v>
      </c>
      <c r="K79" s="6" t="s">
        <v>396</v>
      </c>
      <c r="L79" s="6"/>
      <c r="M79" s="6"/>
    </row>
    <row r="80" customFormat="false" ht="23.85" hidden="false" customHeight="false" outlineLevel="0" collapsed="false">
      <c r="A80" s="4"/>
      <c r="B80" s="5"/>
      <c r="C80" s="5" t="s">
        <v>397</v>
      </c>
      <c r="D80" s="6" t="s">
        <v>398</v>
      </c>
      <c r="E80" s="6" t="s">
        <v>399</v>
      </c>
      <c r="F80" s="6" t="s">
        <v>400</v>
      </c>
      <c r="G80" s="7" t="n">
        <v>46506</v>
      </c>
      <c r="H80" s="7" t="n">
        <v>46512</v>
      </c>
      <c r="I80" s="8" t="n">
        <f aca="false">NETWORKDAYS(G80,H80,Holidays!$A$2:$A$40)</f>
        <v>5</v>
      </c>
      <c r="J80" s="9" t="s">
        <v>26</v>
      </c>
      <c r="K80" s="6" t="s">
        <v>401</v>
      </c>
      <c r="L80" s="6"/>
      <c r="M80" s="6"/>
    </row>
    <row r="81" customFormat="false" ht="46.25" hidden="false" customHeight="false" outlineLevel="0" collapsed="false">
      <c r="A81" s="4"/>
      <c r="B81" s="5" t="s">
        <v>402</v>
      </c>
      <c r="C81" s="5" t="s">
        <v>403</v>
      </c>
      <c r="D81" s="6" t="s">
        <v>404</v>
      </c>
      <c r="E81" s="6" t="s">
        <v>405</v>
      </c>
      <c r="F81" s="6" t="s">
        <v>406</v>
      </c>
      <c r="G81" s="7" t="n">
        <v>46517</v>
      </c>
      <c r="H81" s="7" t="n">
        <v>46526</v>
      </c>
      <c r="I81" s="8" t="n">
        <f aca="false">NETWORKDAYS(G81,H81,Holidays!$A$2:$A$40)</f>
        <v>8</v>
      </c>
      <c r="J81" s="9" t="s">
        <v>26</v>
      </c>
      <c r="K81" s="6" t="s">
        <v>407</v>
      </c>
      <c r="L81" s="6"/>
      <c r="M81" s="6"/>
    </row>
    <row r="82" customFormat="false" ht="23.85" hidden="false" customHeight="true" outlineLevel="0" collapsed="false">
      <c r="A82" s="4" t="s">
        <v>408</v>
      </c>
      <c r="B82" s="5" t="s">
        <v>409</v>
      </c>
      <c r="C82" s="5" t="s">
        <v>410</v>
      </c>
      <c r="D82" s="6" t="s">
        <v>411</v>
      </c>
      <c r="E82" s="6" t="s">
        <v>412</v>
      </c>
      <c r="F82" s="6" t="s">
        <v>413</v>
      </c>
      <c r="G82" s="7" t="n">
        <v>46322</v>
      </c>
      <c r="H82" s="7" t="n">
        <v>46335</v>
      </c>
      <c r="I82" s="8" t="n">
        <f aca="false">NETWORKDAYS(G82,H82,Holidays!$A$2:$A$40)</f>
        <v>10</v>
      </c>
      <c r="J82" s="9" t="s">
        <v>26</v>
      </c>
      <c r="K82" s="6" t="s">
        <v>414</v>
      </c>
      <c r="L82" s="6"/>
      <c r="M82" s="6"/>
    </row>
    <row r="83" customFormat="false" ht="23.85" hidden="false" customHeight="false" outlineLevel="0" collapsed="false">
      <c r="A83" s="4"/>
      <c r="B83" s="5"/>
      <c r="C83" s="5" t="s">
        <v>415</v>
      </c>
      <c r="D83" s="6" t="s">
        <v>416</v>
      </c>
      <c r="E83" s="6" t="s">
        <v>417</v>
      </c>
      <c r="F83" s="6" t="s">
        <v>418</v>
      </c>
      <c r="G83" s="7" t="n">
        <v>46336</v>
      </c>
      <c r="H83" s="7" t="n">
        <v>46345</v>
      </c>
      <c r="I83" s="8" t="n">
        <f aca="false">NETWORKDAYS(G83,H83,Holidays!$A$2:$A$40)</f>
        <v>8</v>
      </c>
      <c r="J83" s="9" t="s">
        <v>26</v>
      </c>
      <c r="K83" s="6" t="s">
        <v>419</v>
      </c>
      <c r="L83" s="6"/>
      <c r="M83" s="6"/>
    </row>
    <row r="84" customFormat="false" ht="46.25" hidden="false" customHeight="true" outlineLevel="0" collapsed="false">
      <c r="A84" s="4"/>
      <c r="B84" s="5" t="s">
        <v>420</v>
      </c>
      <c r="C84" s="5" t="s">
        <v>421</v>
      </c>
      <c r="D84" s="6" t="s">
        <v>422</v>
      </c>
      <c r="E84" s="6" t="s">
        <v>423</v>
      </c>
      <c r="F84" s="6" t="s">
        <v>424</v>
      </c>
      <c r="G84" s="7" t="n">
        <v>46346</v>
      </c>
      <c r="H84" s="7" t="n">
        <v>46359</v>
      </c>
      <c r="I84" s="8" t="n">
        <f aca="false">NETWORKDAYS(G84,H84,Holidays!$A$2:$A$40)</f>
        <v>10</v>
      </c>
      <c r="J84" s="9" t="s">
        <v>26</v>
      </c>
      <c r="K84" s="6" t="s">
        <v>425</v>
      </c>
      <c r="L84" s="6"/>
      <c r="M84" s="6"/>
    </row>
    <row r="85" customFormat="false" ht="23.85" hidden="false" customHeight="false" outlineLevel="0" collapsed="false">
      <c r="A85" s="4"/>
      <c r="B85" s="4"/>
      <c r="C85" s="5"/>
      <c r="D85" s="6" t="s">
        <v>426</v>
      </c>
      <c r="E85" s="6" t="s">
        <v>427</v>
      </c>
      <c r="F85" s="6" t="s">
        <v>428</v>
      </c>
      <c r="G85" s="7" t="n">
        <v>46360</v>
      </c>
      <c r="H85" s="7" t="n">
        <v>46367</v>
      </c>
      <c r="I85" s="8" t="n">
        <f aca="false">NETWORKDAYS(G85,H85,Holidays!$A$2:$A$40)</f>
        <v>6</v>
      </c>
      <c r="J85" s="9" t="s">
        <v>26</v>
      </c>
      <c r="K85" s="6" t="s">
        <v>429</v>
      </c>
      <c r="L85" s="6"/>
      <c r="M85" s="6"/>
    </row>
    <row r="86" customFormat="false" ht="35.05" hidden="false" customHeight="true" outlineLevel="0" collapsed="false">
      <c r="A86" s="4"/>
      <c r="B86" s="4"/>
      <c r="C86" s="5" t="s">
        <v>430</v>
      </c>
      <c r="D86" s="6" t="s">
        <v>431</v>
      </c>
      <c r="E86" s="6" t="s">
        <v>432</v>
      </c>
      <c r="F86" s="6" t="s">
        <v>433</v>
      </c>
      <c r="G86" s="7" t="n">
        <v>46482</v>
      </c>
      <c r="H86" s="7" t="n">
        <v>46489</v>
      </c>
      <c r="I86" s="8" t="n">
        <f aca="false">NETWORKDAYS(G86,H86,Holidays!$A$2:$A$40)</f>
        <v>6</v>
      </c>
      <c r="J86" s="9" t="s">
        <v>26</v>
      </c>
      <c r="K86" s="6" t="s">
        <v>434</v>
      </c>
      <c r="L86" s="6"/>
      <c r="M86" s="6"/>
    </row>
    <row r="87" customFormat="false" ht="35.05" hidden="false" customHeight="false" outlineLevel="0" collapsed="false">
      <c r="A87" s="4"/>
      <c r="B87" s="4"/>
      <c r="C87" s="4"/>
      <c r="D87" s="6" t="s">
        <v>435</v>
      </c>
      <c r="E87" s="6" t="s">
        <v>436</v>
      </c>
      <c r="F87" s="6" t="s">
        <v>437</v>
      </c>
      <c r="G87" s="7" t="n">
        <v>46490</v>
      </c>
      <c r="H87" s="7" t="n">
        <v>46496</v>
      </c>
      <c r="I87" s="8" t="n">
        <f aca="false">NETWORKDAYS(G87,H87,Holidays!$A$2:$A$40)</f>
        <v>5</v>
      </c>
      <c r="J87" s="9" t="s">
        <v>26</v>
      </c>
      <c r="K87" s="6" t="s">
        <v>438</v>
      </c>
      <c r="L87" s="6"/>
      <c r="M87" s="6"/>
    </row>
    <row r="88" customFormat="false" ht="35.05" hidden="false" customHeight="false" outlineLevel="0" collapsed="false">
      <c r="A88" s="4"/>
      <c r="B88" s="4"/>
      <c r="C88" s="4"/>
      <c r="D88" s="6" t="s">
        <v>439</v>
      </c>
      <c r="E88" s="6" t="s">
        <v>440</v>
      </c>
      <c r="F88" s="6" t="s">
        <v>441</v>
      </c>
      <c r="G88" s="7" t="n">
        <v>46507</v>
      </c>
      <c r="H88" s="7" t="n">
        <v>46513</v>
      </c>
      <c r="I88" s="8" t="n">
        <f aca="false">NETWORKDAYS(G88,H88,Holidays!$A$2:$A$40)</f>
        <v>5</v>
      </c>
      <c r="J88" s="9" t="s">
        <v>26</v>
      </c>
      <c r="K88" s="6" t="s">
        <v>442</v>
      </c>
      <c r="L88" s="6"/>
      <c r="M88" s="6"/>
    </row>
    <row r="89" customFormat="false" ht="46.25" hidden="false" customHeight="false" outlineLevel="0" collapsed="false">
      <c r="A89" s="4"/>
      <c r="B89" s="4"/>
      <c r="C89" s="5"/>
      <c r="D89" s="6" t="s">
        <v>443</v>
      </c>
      <c r="E89" s="6" t="s">
        <v>444</v>
      </c>
      <c r="F89" s="6" t="s">
        <v>445</v>
      </c>
      <c r="G89" s="7" t="n">
        <v>46518</v>
      </c>
      <c r="H89" s="7" t="n">
        <v>46525</v>
      </c>
      <c r="I89" s="8" t="n">
        <f aca="false">NETWORKDAYS(G89,H89,Holidays!$A$2:$A$40)</f>
        <v>6</v>
      </c>
      <c r="J89" s="9" t="s">
        <v>26</v>
      </c>
      <c r="K89" s="6" t="s">
        <v>446</v>
      </c>
      <c r="L89" s="6"/>
      <c r="M89" s="6"/>
    </row>
    <row r="90" customFormat="false" ht="23.85" hidden="false" customHeight="true" outlineLevel="0" collapsed="false">
      <c r="A90" s="4"/>
      <c r="B90" s="4"/>
      <c r="C90" s="5" t="s">
        <v>447</v>
      </c>
      <c r="D90" s="6" t="s">
        <v>448</v>
      </c>
      <c r="E90" s="6" t="s">
        <v>449</v>
      </c>
      <c r="F90" s="6" t="s">
        <v>450</v>
      </c>
      <c r="G90" s="7" t="n">
        <v>46370</v>
      </c>
      <c r="H90" s="7" t="n">
        <v>46373</v>
      </c>
      <c r="I90" s="8" t="n">
        <f aca="false">NETWORKDAYS(G90,H90,Holidays!$A$2:$A$40)</f>
        <v>4</v>
      </c>
      <c r="J90" s="9" t="s">
        <v>26</v>
      </c>
      <c r="K90" s="6" t="s">
        <v>451</v>
      </c>
      <c r="L90" s="6"/>
      <c r="M90" s="6"/>
    </row>
    <row r="91" customFormat="false" ht="35.05" hidden="false" customHeight="false" outlineLevel="0" collapsed="false">
      <c r="A91" s="4"/>
      <c r="B91" s="5"/>
      <c r="C91" s="5"/>
      <c r="D91" s="6" t="s">
        <v>452</v>
      </c>
      <c r="E91" s="6" t="s">
        <v>453</v>
      </c>
      <c r="F91" s="6" t="s">
        <v>454</v>
      </c>
      <c r="G91" s="7" t="n">
        <v>46497</v>
      </c>
      <c r="H91" s="7" t="n">
        <v>46504</v>
      </c>
      <c r="I91" s="8" t="n">
        <f aca="false">NETWORKDAYS(G91,H91,Holidays!$A$2:$A$40)</f>
        <v>6</v>
      </c>
      <c r="J91" s="9" t="s">
        <v>26</v>
      </c>
      <c r="K91" s="6" t="s">
        <v>455</v>
      </c>
      <c r="L91" s="6"/>
      <c r="M91" s="6"/>
    </row>
    <row r="92" customFormat="false" ht="23.85" hidden="false" customHeight="true" outlineLevel="0" collapsed="false">
      <c r="A92" s="4"/>
      <c r="B92" s="5" t="s">
        <v>456</v>
      </c>
      <c r="C92" s="5" t="s">
        <v>457</v>
      </c>
      <c r="D92" s="6" t="s">
        <v>458</v>
      </c>
      <c r="E92" s="6" t="s">
        <v>459</v>
      </c>
      <c r="F92" s="6" t="s">
        <v>460</v>
      </c>
      <c r="G92" s="7" t="n">
        <v>46465</v>
      </c>
      <c r="H92" s="7" t="n">
        <v>46477</v>
      </c>
      <c r="I92" s="8" t="n">
        <f aca="false">NETWORKDAYS(G92,H92,Holidays!$A$2:$A$40)</f>
        <v>8</v>
      </c>
      <c r="J92" s="9" t="s">
        <v>26</v>
      </c>
      <c r="K92" s="6" t="s">
        <v>461</v>
      </c>
      <c r="L92" s="6"/>
      <c r="M92" s="6"/>
    </row>
    <row r="93" customFormat="false" ht="46.25" hidden="false" customHeight="false" outlineLevel="0" collapsed="false">
      <c r="A93" s="4"/>
      <c r="B93" s="4"/>
      <c r="C93" s="4"/>
      <c r="D93" s="6" t="s">
        <v>462</v>
      </c>
      <c r="E93" s="6" t="s">
        <v>463</v>
      </c>
      <c r="F93" s="6" t="s">
        <v>464</v>
      </c>
      <c r="G93" s="7" t="n">
        <v>46507</v>
      </c>
      <c r="H93" s="7" t="n">
        <v>46518</v>
      </c>
      <c r="I93" s="8" t="n">
        <f aca="false">NETWORKDAYS(G93,H93,Holidays!$A$2:$A$40)</f>
        <v>8</v>
      </c>
      <c r="J93" s="9" t="s">
        <v>26</v>
      </c>
      <c r="K93" s="6" t="s">
        <v>465</v>
      </c>
      <c r="L93" s="6"/>
      <c r="M93" s="6"/>
    </row>
    <row r="94" customFormat="false" ht="35.05" hidden="false" customHeight="false" outlineLevel="0" collapsed="false">
      <c r="A94" s="4"/>
      <c r="B94" s="4"/>
      <c r="C94" s="4"/>
      <c r="D94" s="6" t="s">
        <v>466</v>
      </c>
      <c r="E94" s="6" t="s">
        <v>467</v>
      </c>
      <c r="F94" s="6" t="s">
        <v>468</v>
      </c>
      <c r="G94" s="7" t="n">
        <v>46380</v>
      </c>
      <c r="H94" s="7" t="n">
        <v>46387</v>
      </c>
      <c r="I94" s="8" t="n">
        <f aca="false">NETWORKDAYS(G94,H94,Holidays!$A$2:$A$40)</f>
        <v>5</v>
      </c>
      <c r="J94" s="9" t="s">
        <v>26</v>
      </c>
      <c r="K94" s="6" t="s">
        <v>469</v>
      </c>
      <c r="L94" s="6"/>
      <c r="M94" s="6"/>
    </row>
    <row r="95" customFormat="false" ht="23.85" hidden="false" customHeight="true" outlineLevel="0" collapsed="false">
      <c r="A95" s="4" t="s">
        <v>470</v>
      </c>
      <c r="B95" s="5" t="s">
        <v>471</v>
      </c>
      <c r="C95" s="5" t="s">
        <v>472</v>
      </c>
      <c r="D95" s="6" t="s">
        <v>473</v>
      </c>
      <c r="E95" s="6" t="s">
        <v>474</v>
      </c>
      <c r="F95" s="6" t="s">
        <v>475</v>
      </c>
      <c r="G95" s="7" t="n">
        <v>46311</v>
      </c>
      <c r="H95" s="7" t="n">
        <v>46318</v>
      </c>
      <c r="I95" s="8" t="n">
        <f aca="false">NETWORKDAYS(G95,H95,Holidays!$A$2:$A$40)</f>
        <v>5</v>
      </c>
      <c r="J95" s="9" t="s">
        <v>26</v>
      </c>
      <c r="K95" s="6" t="s">
        <v>476</v>
      </c>
      <c r="L95" s="6"/>
      <c r="M95" s="6"/>
    </row>
    <row r="96" customFormat="false" ht="23.85" hidden="false" customHeight="false" outlineLevel="0" collapsed="false">
      <c r="A96" s="4"/>
      <c r="B96" s="4"/>
      <c r="C96" s="5" t="s">
        <v>477</v>
      </c>
      <c r="D96" s="6" t="s">
        <v>478</v>
      </c>
      <c r="E96" s="6" t="s">
        <v>479</v>
      </c>
      <c r="F96" s="6" t="s">
        <v>480</v>
      </c>
      <c r="G96" s="7" t="n">
        <v>46321</v>
      </c>
      <c r="H96" s="7" t="n">
        <v>46330</v>
      </c>
      <c r="I96" s="8" t="n">
        <f aca="false">NETWORKDAYS(G96,H96,Holidays!$A$2:$A$40)</f>
        <v>8</v>
      </c>
      <c r="J96" s="9" t="s">
        <v>26</v>
      </c>
      <c r="K96" s="6" t="s">
        <v>481</v>
      </c>
      <c r="L96" s="6"/>
      <c r="M96" s="6"/>
    </row>
    <row r="97" customFormat="false" ht="23.85" hidden="false" customHeight="false" outlineLevel="0" collapsed="false">
      <c r="A97" s="4"/>
      <c r="B97" s="4"/>
      <c r="C97" s="5" t="s">
        <v>482</v>
      </c>
      <c r="D97" s="6" t="s">
        <v>483</v>
      </c>
      <c r="E97" s="6" t="s">
        <v>484</v>
      </c>
      <c r="F97" s="6" t="s">
        <v>485</v>
      </c>
      <c r="G97" s="7" t="n">
        <v>46331</v>
      </c>
      <c r="H97" s="7" t="n">
        <v>46337</v>
      </c>
      <c r="I97" s="8" t="n">
        <f aca="false">NETWORKDAYS(G97,H97,Holidays!$A$2:$A$40)</f>
        <v>5</v>
      </c>
      <c r="J97" s="9" t="s">
        <v>26</v>
      </c>
      <c r="K97" s="6" t="s">
        <v>486</v>
      </c>
      <c r="L97" s="6"/>
      <c r="M97" s="6"/>
    </row>
    <row r="98" customFormat="false" ht="23.85" hidden="false" customHeight="false" outlineLevel="0" collapsed="false">
      <c r="A98" s="4"/>
      <c r="B98" s="5"/>
      <c r="C98" s="5" t="s">
        <v>487</v>
      </c>
      <c r="D98" s="6" t="s">
        <v>488</v>
      </c>
      <c r="E98" s="6" t="s">
        <v>489</v>
      </c>
      <c r="F98" s="6" t="s">
        <v>490</v>
      </c>
      <c r="G98" s="7" t="n">
        <v>46331</v>
      </c>
      <c r="H98" s="7" t="n">
        <v>46337</v>
      </c>
      <c r="I98" s="8" t="n">
        <f aca="false">NETWORKDAYS(G98,H98,Holidays!$A$2:$A$40)</f>
        <v>5</v>
      </c>
      <c r="J98" s="9" t="s">
        <v>26</v>
      </c>
      <c r="K98" s="6" t="s">
        <v>486</v>
      </c>
      <c r="L98" s="6"/>
      <c r="M98" s="6"/>
    </row>
    <row r="99" customFormat="false" ht="23.85" hidden="false" customHeight="true" outlineLevel="0" collapsed="false">
      <c r="A99" s="4"/>
      <c r="B99" s="5" t="s">
        <v>491</v>
      </c>
      <c r="C99" s="5" t="s">
        <v>492</v>
      </c>
      <c r="D99" s="6" t="s">
        <v>493</v>
      </c>
      <c r="E99" s="6" t="s">
        <v>494</v>
      </c>
      <c r="F99" s="6" t="s">
        <v>495</v>
      </c>
      <c r="G99" s="7" t="n">
        <v>46331</v>
      </c>
      <c r="H99" s="7" t="n">
        <v>46338</v>
      </c>
      <c r="I99" s="8" t="n">
        <f aca="false">NETWORKDAYS(G99,H99,Holidays!$A$2:$A$40)</f>
        <v>6</v>
      </c>
      <c r="J99" s="9" t="s">
        <v>26</v>
      </c>
      <c r="K99" s="6" t="s">
        <v>486</v>
      </c>
      <c r="L99" s="6"/>
      <c r="M99" s="6"/>
    </row>
    <row r="100" customFormat="false" ht="23.85" hidden="false" customHeight="false" outlineLevel="0" collapsed="false">
      <c r="A100" s="4"/>
      <c r="B100" s="4"/>
      <c r="C100" s="5" t="s">
        <v>496</v>
      </c>
      <c r="D100" s="6" t="s">
        <v>497</v>
      </c>
      <c r="E100" s="6" t="s">
        <v>498</v>
      </c>
      <c r="F100" s="6" t="s">
        <v>499</v>
      </c>
      <c r="G100" s="7" t="n">
        <v>46331</v>
      </c>
      <c r="H100" s="7" t="n">
        <v>46336</v>
      </c>
      <c r="I100" s="8" t="n">
        <f aca="false">NETWORKDAYS(G100,H100,Holidays!$A$2:$A$40)</f>
        <v>4</v>
      </c>
      <c r="J100" s="9" t="s">
        <v>26</v>
      </c>
      <c r="K100" s="6" t="s">
        <v>486</v>
      </c>
      <c r="L100" s="6"/>
      <c r="M100" s="6"/>
    </row>
    <row r="101" customFormat="false" ht="23.85" hidden="false" customHeight="false" outlineLevel="0" collapsed="false">
      <c r="A101" s="4"/>
      <c r="B101" s="5"/>
      <c r="C101" s="5" t="s">
        <v>500</v>
      </c>
      <c r="D101" s="6" t="s">
        <v>501</v>
      </c>
      <c r="E101" s="6" t="s">
        <v>502</v>
      </c>
      <c r="F101" s="6" t="s">
        <v>503</v>
      </c>
      <c r="G101" s="7" t="n">
        <v>46541</v>
      </c>
      <c r="H101" s="7" t="n">
        <v>46554</v>
      </c>
      <c r="I101" s="8" t="n">
        <f aca="false">NETWORKDAYS(G101,H101,Holidays!$A$2:$A$40)</f>
        <v>10</v>
      </c>
      <c r="J101" s="9" t="s">
        <v>26</v>
      </c>
      <c r="K101" s="6" t="s">
        <v>504</v>
      </c>
      <c r="L101" s="6"/>
      <c r="M101" s="6"/>
    </row>
    <row r="102" customFormat="false" ht="35.05" hidden="false" customHeight="true" outlineLevel="0" collapsed="false">
      <c r="A102" s="4"/>
      <c r="B102" s="5" t="s">
        <v>505</v>
      </c>
      <c r="C102" s="5" t="s">
        <v>506</v>
      </c>
      <c r="D102" s="6" t="s">
        <v>507</v>
      </c>
      <c r="E102" s="6" t="s">
        <v>508</v>
      </c>
      <c r="F102" s="6" t="s">
        <v>509</v>
      </c>
      <c r="G102" s="7" t="n">
        <v>46409</v>
      </c>
      <c r="H102" s="7" t="n">
        <v>46416</v>
      </c>
      <c r="I102" s="8" t="n">
        <f aca="false">NETWORKDAYS(G102,H102,Holidays!$A$2:$A$40)</f>
        <v>5</v>
      </c>
      <c r="J102" s="9" t="s">
        <v>26</v>
      </c>
      <c r="K102" s="6" t="s">
        <v>510</v>
      </c>
      <c r="L102" s="6"/>
      <c r="M102" s="6"/>
    </row>
    <row r="103" customFormat="false" ht="23.85" hidden="false" customHeight="false" outlineLevel="0" collapsed="false">
      <c r="A103" s="4"/>
      <c r="B103" s="4"/>
      <c r="C103" s="5" t="s">
        <v>511</v>
      </c>
      <c r="D103" s="6" t="s">
        <v>512</v>
      </c>
      <c r="E103" s="6" t="s">
        <v>513</v>
      </c>
      <c r="F103" s="6" t="s">
        <v>514</v>
      </c>
      <c r="G103" s="7" t="n">
        <v>46482</v>
      </c>
      <c r="H103" s="7" t="n">
        <v>46491</v>
      </c>
      <c r="I103" s="8" t="n">
        <f aca="false">NETWORKDAYS(G103,H103,Holidays!$A$2:$A$40)</f>
        <v>8</v>
      </c>
      <c r="J103" s="9" t="s">
        <v>26</v>
      </c>
      <c r="K103" s="6" t="s">
        <v>515</v>
      </c>
      <c r="L103" s="6"/>
      <c r="M103" s="6"/>
    </row>
    <row r="104" customFormat="false" ht="35.05" hidden="false" customHeight="false" outlineLevel="0" collapsed="false">
      <c r="A104" s="4"/>
      <c r="B104" s="4"/>
      <c r="C104" s="5" t="s">
        <v>516</v>
      </c>
      <c r="D104" s="6" t="s">
        <v>517</v>
      </c>
      <c r="E104" s="6" t="s">
        <v>518</v>
      </c>
      <c r="F104" s="6" t="s">
        <v>519</v>
      </c>
      <c r="G104" s="7" t="n">
        <v>46419</v>
      </c>
      <c r="H104" s="7" t="n">
        <v>46428</v>
      </c>
      <c r="I104" s="8" t="n">
        <f aca="false">NETWORKDAYS(G104,H104,Holidays!$A$2:$A$40)</f>
        <v>8</v>
      </c>
      <c r="J104" s="9" t="s">
        <v>26</v>
      </c>
      <c r="K104" s="6" t="s">
        <v>520</v>
      </c>
      <c r="L104" s="6"/>
      <c r="M104" s="6"/>
    </row>
    <row r="105" customFormat="false" ht="23.85" hidden="false" customHeight="false" outlineLevel="0" collapsed="false">
      <c r="A105" s="4"/>
      <c r="B105" s="4"/>
      <c r="C105" s="5" t="s">
        <v>521</v>
      </c>
      <c r="D105" s="6" t="s">
        <v>522</v>
      </c>
      <c r="E105" s="6" t="s">
        <v>523</v>
      </c>
      <c r="F105" s="6" t="s">
        <v>524</v>
      </c>
      <c r="G105" s="7" t="n">
        <v>46527</v>
      </c>
      <c r="H105" s="7" t="n">
        <v>46533</v>
      </c>
      <c r="I105" s="8" t="n">
        <f aca="false">NETWORKDAYS(G105,H105,Holidays!$A$2:$A$40)</f>
        <v>5</v>
      </c>
      <c r="J105" s="9" t="s">
        <v>26</v>
      </c>
      <c r="K105" s="6" t="s">
        <v>525</v>
      </c>
      <c r="L105" s="6"/>
      <c r="M105" s="6"/>
    </row>
    <row r="106" customFormat="false" ht="91" hidden="false" customHeight="true" outlineLevel="0" collapsed="false">
      <c r="A106" s="4" t="s">
        <v>526</v>
      </c>
      <c r="B106" s="5" t="s">
        <v>527</v>
      </c>
      <c r="C106" s="5" t="s">
        <v>528</v>
      </c>
      <c r="D106" s="6" t="s">
        <v>529</v>
      </c>
      <c r="E106" s="6" t="s">
        <v>530</v>
      </c>
      <c r="F106" s="6" t="s">
        <v>531</v>
      </c>
      <c r="G106" s="7" t="n">
        <v>46527</v>
      </c>
      <c r="H106" s="7" t="n">
        <v>46540</v>
      </c>
      <c r="I106" s="8" t="n">
        <f aca="false">NETWORKDAYS(G106,H106,Holidays!$A$2:$A$40)</f>
        <v>10</v>
      </c>
      <c r="J106" s="9" t="s">
        <v>26</v>
      </c>
      <c r="K106" s="6" t="s">
        <v>532</v>
      </c>
      <c r="L106" s="6"/>
      <c r="M106" s="6"/>
    </row>
    <row r="107" customFormat="false" ht="23.85" hidden="false" customHeight="false" outlineLevel="0" collapsed="false">
      <c r="A107" s="4"/>
      <c r="B107" s="4"/>
      <c r="C107" s="5" t="s">
        <v>533</v>
      </c>
      <c r="D107" s="6" t="s">
        <v>534</v>
      </c>
      <c r="E107" s="6" t="s">
        <v>535</v>
      </c>
      <c r="F107" s="6" t="s">
        <v>536</v>
      </c>
      <c r="G107" s="7" t="n">
        <v>46541</v>
      </c>
      <c r="H107" s="7" t="n">
        <v>46547</v>
      </c>
      <c r="I107" s="8" t="n">
        <f aca="false">NETWORKDAYS(G107,H107,Holidays!$A$2:$A$40)</f>
        <v>5</v>
      </c>
      <c r="J107" s="9" t="s">
        <v>26</v>
      </c>
      <c r="K107" s="6" t="s">
        <v>537</v>
      </c>
      <c r="L107" s="6"/>
      <c r="M107" s="6"/>
    </row>
    <row r="108" customFormat="false" ht="35.05" hidden="false" customHeight="false" outlineLevel="0" collapsed="false">
      <c r="A108" s="4"/>
      <c r="B108" s="5"/>
      <c r="C108" s="5" t="s">
        <v>538</v>
      </c>
      <c r="D108" s="6" t="s">
        <v>539</v>
      </c>
      <c r="E108" s="6" t="s">
        <v>540</v>
      </c>
      <c r="F108" s="6" t="s">
        <v>541</v>
      </c>
      <c r="G108" s="7" t="n">
        <v>46555</v>
      </c>
      <c r="H108" s="7" t="n">
        <v>46568</v>
      </c>
      <c r="I108" s="8" t="n">
        <f aca="false">NETWORKDAYS(G108,H108,Holidays!$A$2:$A$40)</f>
        <v>10</v>
      </c>
      <c r="J108" s="9" t="s">
        <v>26</v>
      </c>
      <c r="K108" s="6" t="s">
        <v>542</v>
      </c>
      <c r="L108" s="6"/>
      <c r="M108" s="6"/>
    </row>
    <row r="109" customFormat="false" ht="23.85" hidden="false" customHeight="true" outlineLevel="0" collapsed="false">
      <c r="A109" s="4"/>
      <c r="B109" s="5" t="s">
        <v>543</v>
      </c>
      <c r="C109" s="5" t="s">
        <v>544</v>
      </c>
      <c r="D109" s="6" t="s">
        <v>545</v>
      </c>
      <c r="E109" s="6" t="s">
        <v>546</v>
      </c>
      <c r="F109" s="6" t="s">
        <v>547</v>
      </c>
      <c r="G109" s="7" t="n">
        <v>46569</v>
      </c>
      <c r="H109" s="7" t="n">
        <v>46580</v>
      </c>
      <c r="I109" s="8" t="n">
        <f aca="false">NETWORKDAYS(G109,H109,Holidays!$A$2:$A$40)</f>
        <v>8</v>
      </c>
      <c r="J109" s="9" t="s">
        <v>26</v>
      </c>
      <c r="K109" s="6" t="s">
        <v>548</v>
      </c>
      <c r="L109" s="6"/>
      <c r="M109" s="6"/>
    </row>
    <row r="110" customFormat="false" ht="23.85" hidden="false" customHeight="false" outlineLevel="0" collapsed="false">
      <c r="A110" s="4"/>
      <c r="B110" s="5"/>
      <c r="C110" s="5" t="s">
        <v>549</v>
      </c>
      <c r="D110" s="6" t="s">
        <v>550</v>
      </c>
      <c r="E110" s="6" t="s">
        <v>551</v>
      </c>
      <c r="F110" s="6" t="s">
        <v>552</v>
      </c>
      <c r="G110" s="7" t="n">
        <v>46569</v>
      </c>
      <c r="H110" s="7" t="n">
        <v>46576</v>
      </c>
      <c r="I110" s="8" t="n">
        <f aca="false">NETWORKDAYS(G110,H110,Holidays!$A$2:$A$40)</f>
        <v>6</v>
      </c>
      <c r="J110" s="9" t="s">
        <v>26</v>
      </c>
      <c r="K110" s="6" t="s">
        <v>548</v>
      </c>
      <c r="L110" s="6"/>
      <c r="M110" s="6"/>
    </row>
    <row r="111" customFormat="false" ht="57.45" hidden="false" customHeight="true" outlineLevel="0" collapsed="false">
      <c r="A111" s="4"/>
      <c r="B111" s="5" t="s">
        <v>553</v>
      </c>
      <c r="C111" s="5" t="s">
        <v>554</v>
      </c>
      <c r="D111" s="6" t="s">
        <v>555</v>
      </c>
      <c r="E111" s="6" t="s">
        <v>556</v>
      </c>
      <c r="F111" s="6" t="s">
        <v>557</v>
      </c>
      <c r="G111" s="7" t="n">
        <v>46581</v>
      </c>
      <c r="H111" s="7" t="n">
        <v>46660</v>
      </c>
      <c r="I111" s="8" t="n">
        <f aca="false">NETWORKDAYS(G111,H111,Holidays!$A$2:$A$40)</f>
        <v>58</v>
      </c>
      <c r="J111" s="9" t="s">
        <v>26</v>
      </c>
      <c r="K111" s="6" t="s">
        <v>558</v>
      </c>
      <c r="L111" s="6" t="s">
        <v>559</v>
      </c>
      <c r="M111" s="6"/>
    </row>
    <row r="112" customFormat="false" ht="23.85" hidden="false" customHeight="false" outlineLevel="0" collapsed="false">
      <c r="A112" s="4"/>
      <c r="B112" s="5"/>
      <c r="C112" s="5" t="s">
        <v>560</v>
      </c>
      <c r="D112" s="6" t="s">
        <v>561</v>
      </c>
      <c r="E112" s="6" t="s">
        <v>562</v>
      </c>
      <c r="F112" s="6" t="s">
        <v>563</v>
      </c>
      <c r="G112" s="7" t="n">
        <v>46661</v>
      </c>
      <c r="H112" s="7" t="n">
        <v>46667</v>
      </c>
      <c r="I112" s="8" t="n">
        <f aca="false">NETWORKDAYS(G112,H112,Holidays!$A$2:$A$40)</f>
        <v>5</v>
      </c>
      <c r="J112" s="9" t="s">
        <v>26</v>
      </c>
      <c r="K112" s="6" t="s">
        <v>564</v>
      </c>
      <c r="L112" s="6"/>
      <c r="M112" s="6"/>
    </row>
    <row r="113" customFormat="false" ht="23.85" hidden="false" customHeight="true" outlineLevel="0" collapsed="false">
      <c r="A113" s="4"/>
      <c r="B113" s="5" t="s">
        <v>565</v>
      </c>
      <c r="C113" s="5" t="s">
        <v>566</v>
      </c>
      <c r="D113" s="6" t="s">
        <v>567</v>
      </c>
      <c r="E113" s="6" t="s">
        <v>568</v>
      </c>
      <c r="F113" s="6" t="s">
        <v>569</v>
      </c>
      <c r="G113" s="7" t="n">
        <v>46668</v>
      </c>
      <c r="H113" s="7" t="n">
        <v>46702</v>
      </c>
      <c r="I113" s="8" t="n">
        <f aca="false">NETWORKDAYS(G113,H113,Holidays!$A$2:$A$40)</f>
        <v>25</v>
      </c>
      <c r="J113" s="9" t="s">
        <v>26</v>
      </c>
      <c r="K113" s="6" t="s">
        <v>570</v>
      </c>
      <c r="L113" s="6"/>
      <c r="M113" s="6"/>
    </row>
    <row r="114" customFormat="false" ht="23.85" hidden="false" customHeight="false" outlineLevel="0" collapsed="false">
      <c r="A114" s="4"/>
      <c r="B114" s="4"/>
      <c r="C114" s="5"/>
      <c r="D114" s="6" t="s">
        <v>571</v>
      </c>
      <c r="E114" s="6" t="s">
        <v>572</v>
      </c>
      <c r="F114" s="6" t="s">
        <v>573</v>
      </c>
      <c r="G114" s="7" t="n">
        <v>46668</v>
      </c>
      <c r="H114" s="7" t="n">
        <v>46702</v>
      </c>
      <c r="I114" s="8" t="n">
        <f aca="false">NETWORKDAYS(G114,H114,Holidays!$A$2:$A$40)</f>
        <v>25</v>
      </c>
      <c r="J114" s="9" t="s">
        <v>26</v>
      </c>
      <c r="K114" s="6" t="s">
        <v>570</v>
      </c>
      <c r="L114" s="6"/>
      <c r="M114" s="6"/>
    </row>
    <row r="115" customFormat="false" ht="23.85" hidden="false" customHeight="true" outlineLevel="0" collapsed="false">
      <c r="A115" s="4"/>
      <c r="B115" s="4"/>
      <c r="C115" s="5" t="s">
        <v>574</v>
      </c>
      <c r="D115" s="6" t="s">
        <v>575</v>
      </c>
      <c r="E115" s="6" t="s">
        <v>576</v>
      </c>
      <c r="F115" s="6" t="s">
        <v>577</v>
      </c>
      <c r="G115" s="7" t="n">
        <v>46668</v>
      </c>
      <c r="H115" s="7" t="n">
        <v>46681</v>
      </c>
      <c r="I115" s="8" t="n">
        <f aca="false">NETWORKDAYS(G115,H115,Holidays!$A$2:$A$40)</f>
        <v>10</v>
      </c>
      <c r="J115" s="9" t="s">
        <v>26</v>
      </c>
      <c r="K115" s="6" t="s">
        <v>570</v>
      </c>
      <c r="L115" s="6"/>
      <c r="M115" s="6"/>
    </row>
    <row r="116" customFormat="false" ht="23.85" hidden="false" customHeight="false" outlineLevel="0" collapsed="false">
      <c r="A116" s="4"/>
      <c r="B116" s="4"/>
      <c r="C116" s="4"/>
      <c r="D116" s="6" t="s">
        <v>578</v>
      </c>
      <c r="E116" s="6" t="s">
        <v>579</v>
      </c>
      <c r="F116" s="6" t="s">
        <v>580</v>
      </c>
      <c r="G116" s="7" t="n">
        <v>46668</v>
      </c>
      <c r="H116" s="7" t="n">
        <v>46688</v>
      </c>
      <c r="I116" s="8" t="n">
        <f aca="false">NETWORKDAYS(G116,H116,Holidays!$A$2:$A$40)</f>
        <v>15</v>
      </c>
      <c r="J116" s="9" t="s">
        <v>26</v>
      </c>
      <c r="K116" s="6" t="s">
        <v>570</v>
      </c>
      <c r="L116" s="6"/>
      <c r="M116" s="6"/>
    </row>
    <row r="117" customFormat="false" ht="35.05" hidden="false" customHeight="false" outlineLevel="0" collapsed="false">
      <c r="A117" s="4"/>
      <c r="B117" s="4"/>
      <c r="C117" s="4"/>
      <c r="D117" s="6" t="s">
        <v>581</v>
      </c>
      <c r="E117" s="6" t="s">
        <v>582</v>
      </c>
      <c r="F117" s="6" t="s">
        <v>583</v>
      </c>
      <c r="G117" s="7" t="n">
        <v>46668</v>
      </c>
      <c r="H117" s="7" t="n">
        <v>46688</v>
      </c>
      <c r="I117" s="8" t="n">
        <f aca="false">NETWORKDAYS(G117,H117,Holidays!$A$2:$A$40)</f>
        <v>15</v>
      </c>
      <c r="J117" s="9" t="s">
        <v>26</v>
      </c>
      <c r="K117" s="6" t="s">
        <v>584</v>
      </c>
      <c r="L117" s="6"/>
      <c r="M117" s="6"/>
    </row>
    <row r="118" customFormat="false" ht="35.05" hidden="false" customHeight="false" outlineLevel="0" collapsed="false">
      <c r="A118" s="4"/>
      <c r="B118" s="4"/>
      <c r="C118" s="5"/>
      <c r="D118" s="6" t="s">
        <v>585</v>
      </c>
      <c r="E118" s="6" t="s">
        <v>586</v>
      </c>
      <c r="F118" s="6" t="s">
        <v>587</v>
      </c>
      <c r="G118" s="7" t="n">
        <v>46668</v>
      </c>
      <c r="H118" s="7" t="n">
        <v>46688</v>
      </c>
      <c r="I118" s="8" t="n">
        <f aca="false">NETWORKDAYS(G118,H118,Holidays!$A$2:$A$40)</f>
        <v>15</v>
      </c>
      <c r="J118" s="9" t="s">
        <v>26</v>
      </c>
      <c r="K118" s="6" t="s">
        <v>588</v>
      </c>
      <c r="L118" s="6"/>
      <c r="M118" s="6"/>
    </row>
    <row r="119" customFormat="false" ht="23.85" hidden="false" customHeight="false" outlineLevel="0" collapsed="false">
      <c r="A119" s="4"/>
      <c r="B119" s="4"/>
      <c r="C119" s="5" t="s">
        <v>589</v>
      </c>
      <c r="D119" s="6" t="s">
        <v>590</v>
      </c>
      <c r="E119" s="6" t="s">
        <v>591</v>
      </c>
      <c r="F119" s="6" t="s">
        <v>592</v>
      </c>
      <c r="G119" s="7" t="n">
        <v>46703</v>
      </c>
      <c r="H119" s="7" t="n">
        <v>46723</v>
      </c>
      <c r="I119" s="8" t="n">
        <f aca="false">NETWORKDAYS(G119,H119,Holidays!$A$2:$A$40)</f>
        <v>15</v>
      </c>
      <c r="J119" s="9" t="s">
        <v>26</v>
      </c>
      <c r="K119" s="6" t="s">
        <v>593</v>
      </c>
      <c r="L119" s="6"/>
      <c r="M119" s="6"/>
    </row>
  </sheetData>
  <mergeCells count="57">
    <mergeCell ref="A1:M1"/>
    <mergeCell ref="A2:M2"/>
    <mergeCell ref="A4:A19"/>
    <mergeCell ref="B4:B9"/>
    <mergeCell ref="C4:C5"/>
    <mergeCell ref="C6:C9"/>
    <mergeCell ref="B10:B19"/>
    <mergeCell ref="C10:C16"/>
    <mergeCell ref="C17:C19"/>
    <mergeCell ref="A20:A37"/>
    <mergeCell ref="B20:B23"/>
    <mergeCell ref="C21:C23"/>
    <mergeCell ref="B24:B27"/>
    <mergeCell ref="B28:B32"/>
    <mergeCell ref="B33:B35"/>
    <mergeCell ref="C34:C35"/>
    <mergeCell ref="B36:B37"/>
    <mergeCell ref="A38:A49"/>
    <mergeCell ref="B38:B39"/>
    <mergeCell ref="B40:B43"/>
    <mergeCell ref="B44:B47"/>
    <mergeCell ref="B48:B49"/>
    <mergeCell ref="A50:A59"/>
    <mergeCell ref="B50:B53"/>
    <mergeCell ref="B54:B57"/>
    <mergeCell ref="B58:B59"/>
    <mergeCell ref="A60:A73"/>
    <mergeCell ref="B60:B63"/>
    <mergeCell ref="B64:B67"/>
    <mergeCell ref="C64:C65"/>
    <mergeCell ref="C66:C67"/>
    <mergeCell ref="B68:B73"/>
    <mergeCell ref="C69:C71"/>
    <mergeCell ref="A74:A81"/>
    <mergeCell ref="B74:B76"/>
    <mergeCell ref="C75:C76"/>
    <mergeCell ref="B77:B80"/>
    <mergeCell ref="C78:C79"/>
    <mergeCell ref="A82:A94"/>
    <mergeCell ref="B82:B83"/>
    <mergeCell ref="B84:B91"/>
    <mergeCell ref="C84:C85"/>
    <mergeCell ref="C86:C89"/>
    <mergeCell ref="C90:C91"/>
    <mergeCell ref="B92:B94"/>
    <mergeCell ref="C92:C94"/>
    <mergeCell ref="A95:A105"/>
    <mergeCell ref="B95:B98"/>
    <mergeCell ref="B99:B101"/>
    <mergeCell ref="B102:B105"/>
    <mergeCell ref="A106:A119"/>
    <mergeCell ref="B106:B108"/>
    <mergeCell ref="B109:B110"/>
    <mergeCell ref="B111:B112"/>
    <mergeCell ref="B113:B119"/>
    <mergeCell ref="C113:C114"/>
    <mergeCell ref="C115:C118"/>
  </mergeCells>
  <conditionalFormatting sqref="J4:J179">
    <cfRule type="expression" priority="2" aboveAverage="0" equalAverage="0" bottom="0" percent="0" rank="0" text="" dxfId="0">
      <formula>$J4="Done"</formula>
    </cfRule>
    <cfRule type="expression" priority="3" aboveAverage="0" equalAverage="0" bottom="0" percent="0" rank="0" text="" dxfId="1">
      <formula>$J4="In Progress"</formula>
    </cfRule>
    <cfRule type="expression" priority="4" aboveAverage="0" equalAverage="0" bottom="0" percent="0" rank="0" text="" dxfId="2">
      <formula>$J4="Not Started"</formula>
    </cfRule>
    <cfRule type="expression" priority="5" aboveAverage="0" equalAverage="0" bottom="0" percent="0" rank="0" text="" dxfId="3">
      <formula>$J4="Blocked"</formula>
    </cfRule>
  </conditionalFormatting>
  <conditionalFormatting sqref="H4:H179">
    <cfRule type="expression" priority="6" aboveAverage="0" equalAverage="0" bottom="0" percent="0" rank="0" text="" dxfId="4">
      <formula>AND($H4&lt;&gt;"",$H4&lt;TODAY(),$J4&lt;&gt;"Done")</formula>
    </cfRule>
  </conditionalFormatting>
  <dataValidations count="1">
    <dataValidation allowBlank="false" error="Pick a status from the list." errorStyle="stop" errorTitle="Status" operator="between" showDropDown="false" showErrorMessage="true" showInputMessage="false" sqref="J4:J179" type="list">
      <formula1>"Done,In Progress,Not Started,Blocked"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594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0" t="s">
        <v>595</v>
      </c>
    </row>
    <row r="3" customFormat="false" ht="15" hidden="false" customHeight="false" outlineLevel="0" collapsed="false">
      <c r="A3" s="3" t="s">
        <v>2</v>
      </c>
      <c r="B3" s="3" t="s">
        <v>596</v>
      </c>
      <c r="C3" s="3" t="s">
        <v>21</v>
      </c>
      <c r="D3" s="3" t="s">
        <v>597</v>
      </c>
      <c r="E3" s="3" t="s">
        <v>26</v>
      </c>
      <c r="F3" s="3" t="s">
        <v>598</v>
      </c>
      <c r="G3" s="3" t="s">
        <v>599</v>
      </c>
      <c r="H3" s="3" t="s">
        <v>8</v>
      </c>
      <c r="I3" s="3" t="s">
        <v>9</v>
      </c>
      <c r="J3" s="3" t="s">
        <v>10</v>
      </c>
    </row>
    <row r="4" customFormat="false" ht="15" hidden="false" customHeight="false" outlineLevel="0" collapsed="false">
      <c r="A4" s="11" t="s">
        <v>15</v>
      </c>
      <c r="B4" s="12" t="n">
        <f aca="false">COUNTA(Tracker!$D$4:$D$19)</f>
        <v>16</v>
      </c>
      <c r="C4" s="12" t="n">
        <f aca="false">COUNTIF(Tracker!$J$4:$J$19,"Done")</f>
        <v>1</v>
      </c>
      <c r="D4" s="12" t="n">
        <f aca="false">COUNTIF(Tracker!$J$4:$J$19,"In Progress")</f>
        <v>0</v>
      </c>
      <c r="E4" s="12" t="n">
        <f aca="false">COUNTIF(Tracker!$J$4:$J$19,"Not Started")</f>
        <v>15</v>
      </c>
      <c r="F4" s="12" t="n">
        <f aca="false">COUNTIF(Tracker!$J$4:$J$19,"Blocked")</f>
        <v>0</v>
      </c>
      <c r="G4" s="13" t="n">
        <f aca="false">IF(B4=0,0,C4/B4)</f>
        <v>0.0625</v>
      </c>
      <c r="H4" s="14" t="n">
        <f aca="false">MIN(Tracker!$G$4:$G$19)</f>
        <v>46286</v>
      </c>
      <c r="I4" s="14" t="n">
        <f aca="false">MAX(Tracker!$H$4:$H$19)</f>
        <v>46360</v>
      </c>
      <c r="J4" s="12" t="n">
        <f aca="false">NETWORKDAYS(H4,I4,Holidays!$A$2:$A$40)</f>
        <v>54</v>
      </c>
    </row>
    <row r="5" customFormat="false" ht="15" hidden="false" customHeight="false" outlineLevel="0" collapsed="false">
      <c r="A5" s="11" t="s">
        <v>88</v>
      </c>
      <c r="B5" s="12" t="n">
        <f aca="false">COUNTA(Tracker!$D$20:$D$37)</f>
        <v>18</v>
      </c>
      <c r="C5" s="12" t="n">
        <f aca="false">COUNTIF(Tracker!$J$20:$J$37,"Done")</f>
        <v>0</v>
      </c>
      <c r="D5" s="12" t="n">
        <f aca="false">COUNTIF(Tracker!$J$20:$J$37,"In Progress")</f>
        <v>0</v>
      </c>
      <c r="E5" s="12" t="n">
        <f aca="false">COUNTIF(Tracker!$J$20:$J$37,"Not Started")</f>
        <v>18</v>
      </c>
      <c r="F5" s="12" t="n">
        <f aca="false">COUNTIF(Tracker!$J$20:$J$37,"Blocked")</f>
        <v>0</v>
      </c>
      <c r="G5" s="13" t="n">
        <f aca="false">IF(B5=0,0,C5/B5)</f>
        <v>0</v>
      </c>
      <c r="H5" s="14" t="n">
        <f aca="false">MIN(Tracker!$G$20:$G$37)</f>
        <v>46324</v>
      </c>
      <c r="I5" s="14" t="n">
        <f aca="false">MAX(Tracker!$H$20:$H$37)</f>
        <v>46379</v>
      </c>
      <c r="J5" s="12" t="n">
        <f aca="false">NETWORKDAYS(H5,I5,Holidays!$A$2:$A$40)</f>
        <v>40</v>
      </c>
    </row>
    <row r="6" customFormat="false" ht="15" hidden="false" customHeight="false" outlineLevel="0" collapsed="false">
      <c r="A6" s="11" t="s">
        <v>181</v>
      </c>
      <c r="B6" s="12" t="n">
        <f aca="false">COUNTA(Tracker!$D$38:$D$49)</f>
        <v>12</v>
      </c>
      <c r="C6" s="12" t="n">
        <f aca="false">COUNTIF(Tracker!$J$38:$J$49,"Done")</f>
        <v>0</v>
      </c>
      <c r="D6" s="12" t="n">
        <f aca="false">COUNTIF(Tracker!$J$38:$J$49,"In Progress")</f>
        <v>0</v>
      </c>
      <c r="E6" s="12" t="n">
        <f aca="false">COUNTIF(Tracker!$J$38:$J$49,"Not Started")</f>
        <v>12</v>
      </c>
      <c r="F6" s="12" t="n">
        <f aca="false">COUNTIF(Tracker!$J$38:$J$49,"Blocked")</f>
        <v>0</v>
      </c>
      <c r="G6" s="13" t="n">
        <f aca="false">IF(B6=0,0,C6/B6)</f>
        <v>0</v>
      </c>
      <c r="H6" s="14" t="n">
        <f aca="false">MIN(Tracker!$G$38:$G$49)</f>
        <v>46360</v>
      </c>
      <c r="I6" s="14" t="n">
        <f aca="false">MAX(Tracker!$H$38:$H$49)</f>
        <v>46485</v>
      </c>
      <c r="J6" s="12" t="n">
        <f aca="false">NETWORKDAYS(H6,I6,Holidays!$A$2:$A$40)</f>
        <v>87</v>
      </c>
    </row>
    <row r="7" customFormat="false" ht="15" hidden="false" customHeight="false" outlineLevel="0" collapsed="false">
      <c r="A7" s="11" t="s">
        <v>247</v>
      </c>
      <c r="B7" s="12" t="n">
        <f aca="false">COUNTA(Tracker!$D$50:$D$59)</f>
        <v>10</v>
      </c>
      <c r="C7" s="12" t="n">
        <f aca="false">COUNTIF(Tracker!$J$50:$J$59,"Done")</f>
        <v>0</v>
      </c>
      <c r="D7" s="12" t="n">
        <f aca="false">COUNTIF(Tracker!$J$50:$J$59,"In Progress")</f>
        <v>0</v>
      </c>
      <c r="E7" s="12" t="n">
        <f aca="false">COUNTIF(Tracker!$J$50:$J$59,"Not Started")</f>
        <v>10</v>
      </c>
      <c r="F7" s="12" t="n">
        <f aca="false">COUNTIF(Tracker!$J$50:$J$59,"Blocked")</f>
        <v>0</v>
      </c>
      <c r="G7" s="13" t="n">
        <f aca="false">IF(B7=0,0,C7/B7)</f>
        <v>0</v>
      </c>
      <c r="H7" s="14" t="n">
        <f aca="false">MIN(Tracker!$G$50:$G$59)</f>
        <v>46324</v>
      </c>
      <c r="I7" s="14" t="n">
        <f aca="false">MAX(Tracker!$H$50:$H$59)</f>
        <v>46507</v>
      </c>
      <c r="J7" s="12" t="n">
        <f aca="false">NETWORKDAYS(H7,I7,Holidays!$A$2:$A$40)</f>
        <v>129</v>
      </c>
    </row>
    <row r="8" customFormat="false" ht="15" hidden="false" customHeight="false" outlineLevel="0" collapsed="false">
      <c r="A8" s="11" t="s">
        <v>298</v>
      </c>
      <c r="B8" s="12" t="n">
        <f aca="false">COUNTA(Tracker!$D$60:$D$73)</f>
        <v>14</v>
      </c>
      <c r="C8" s="12" t="n">
        <f aca="false">COUNTIF(Tracker!$J$60:$J$73,"Done")</f>
        <v>0</v>
      </c>
      <c r="D8" s="12" t="n">
        <f aca="false">COUNTIF(Tracker!$J$60:$J$73,"In Progress")</f>
        <v>0</v>
      </c>
      <c r="E8" s="12" t="n">
        <f aca="false">COUNTIF(Tracker!$J$60:$J$73,"Not Started")</f>
        <v>14</v>
      </c>
      <c r="F8" s="12" t="n">
        <f aca="false">COUNTIF(Tracker!$J$60:$J$73,"Blocked")</f>
        <v>0</v>
      </c>
      <c r="G8" s="13" t="n">
        <f aca="false">IF(B8=0,0,C8/B8)</f>
        <v>0</v>
      </c>
      <c r="H8" s="14" t="n">
        <f aca="false">MIN(Tracker!$G$60:$G$73)</f>
        <v>46457</v>
      </c>
      <c r="I8" s="14" t="n">
        <f aca="false">MAX(Tracker!$H$60:$H$73)</f>
        <v>46517</v>
      </c>
      <c r="J8" s="12" t="n">
        <f aca="false">NETWORKDAYS(H8,I8,Holidays!$A$2:$A$40)</f>
        <v>42</v>
      </c>
    </row>
    <row r="9" customFormat="false" ht="15" hidden="false" customHeight="false" outlineLevel="0" collapsed="false">
      <c r="A9" s="11" t="s">
        <v>366</v>
      </c>
      <c r="B9" s="12" t="n">
        <f aca="false">COUNTA(Tracker!$D$74:$D$81)</f>
        <v>8</v>
      </c>
      <c r="C9" s="12" t="n">
        <f aca="false">COUNTIF(Tracker!$J$74:$J$81,"Done")</f>
        <v>0</v>
      </c>
      <c r="D9" s="12" t="n">
        <f aca="false">COUNTIF(Tracker!$J$74:$J$81,"In Progress")</f>
        <v>0</v>
      </c>
      <c r="E9" s="12" t="n">
        <f aca="false">COUNTIF(Tracker!$J$74:$J$81,"Not Started")</f>
        <v>8</v>
      </c>
      <c r="F9" s="12" t="n">
        <f aca="false">COUNTIF(Tracker!$J$74:$J$81,"Blocked")</f>
        <v>0</v>
      </c>
      <c r="G9" s="13" t="n">
        <f aca="false">IF(B9=0,0,C9/B9)</f>
        <v>0</v>
      </c>
      <c r="H9" s="14" t="n">
        <f aca="false">MIN(Tracker!$G$74:$G$81)</f>
        <v>46353</v>
      </c>
      <c r="I9" s="14" t="n">
        <f aca="false">MAX(Tracker!$H$74:$H$81)</f>
        <v>46526</v>
      </c>
      <c r="J9" s="12" t="n">
        <f aca="false">NETWORKDAYS(H9,I9,Holidays!$A$2:$A$40)</f>
        <v>121</v>
      </c>
    </row>
    <row r="10" customFormat="false" ht="15" hidden="false" customHeight="false" outlineLevel="0" collapsed="false">
      <c r="A10" s="11" t="s">
        <v>408</v>
      </c>
      <c r="B10" s="12" t="n">
        <f aca="false">COUNTA(Tracker!$D$82:$D$94)</f>
        <v>13</v>
      </c>
      <c r="C10" s="12" t="n">
        <f aca="false">COUNTIF(Tracker!$J$82:$J$94,"Done")</f>
        <v>0</v>
      </c>
      <c r="D10" s="12" t="n">
        <f aca="false">COUNTIF(Tracker!$J$82:$J$94,"In Progress")</f>
        <v>0</v>
      </c>
      <c r="E10" s="12" t="n">
        <f aca="false">COUNTIF(Tracker!$J$82:$J$94,"Not Started")</f>
        <v>13</v>
      </c>
      <c r="F10" s="12" t="n">
        <f aca="false">COUNTIF(Tracker!$J$82:$J$94,"Blocked")</f>
        <v>0</v>
      </c>
      <c r="G10" s="13" t="n">
        <f aca="false">IF(B10=0,0,C10/B10)</f>
        <v>0</v>
      </c>
      <c r="H10" s="14" t="n">
        <f aca="false">MIN(Tracker!$G$82:$G$94)</f>
        <v>46322</v>
      </c>
      <c r="I10" s="14" t="n">
        <f aca="false">MAX(Tracker!$H$82:$H$94)</f>
        <v>46525</v>
      </c>
      <c r="J10" s="12" t="n">
        <f aca="false">NETWORKDAYS(H10,I10,Holidays!$A$2:$A$40)</f>
        <v>143</v>
      </c>
    </row>
    <row r="11" customFormat="false" ht="15" hidden="false" customHeight="false" outlineLevel="0" collapsed="false">
      <c r="A11" s="11" t="s">
        <v>470</v>
      </c>
      <c r="B11" s="12" t="n">
        <f aca="false">COUNTA(Tracker!$D$95:$D$105)</f>
        <v>11</v>
      </c>
      <c r="C11" s="12" t="n">
        <f aca="false">COUNTIF(Tracker!$J$95:$J$105,"Done")</f>
        <v>0</v>
      </c>
      <c r="D11" s="12" t="n">
        <f aca="false">COUNTIF(Tracker!$J$95:$J$105,"In Progress")</f>
        <v>0</v>
      </c>
      <c r="E11" s="12" t="n">
        <f aca="false">COUNTIF(Tracker!$J$95:$J$105,"Not Started")</f>
        <v>11</v>
      </c>
      <c r="F11" s="12" t="n">
        <f aca="false">COUNTIF(Tracker!$J$95:$J$105,"Blocked")</f>
        <v>0</v>
      </c>
      <c r="G11" s="13" t="n">
        <f aca="false">IF(B11=0,0,C11/B11)</f>
        <v>0</v>
      </c>
      <c r="H11" s="14" t="n">
        <f aca="false">MIN(Tracker!$G$95:$G$105)</f>
        <v>46311</v>
      </c>
      <c r="I11" s="14" t="n">
        <f aca="false">MAX(Tracker!$H$95:$H$105)</f>
        <v>46554</v>
      </c>
      <c r="J11" s="12" t="n">
        <f aca="false">NETWORKDAYS(H11,I11,Holidays!$A$2:$A$40)</f>
        <v>170</v>
      </c>
    </row>
    <row r="12" customFormat="false" ht="15" hidden="false" customHeight="false" outlineLevel="0" collapsed="false">
      <c r="A12" s="11" t="s">
        <v>526</v>
      </c>
      <c r="B12" s="12" t="n">
        <f aca="false">COUNTA(Tracker!$D$106:$D$119)</f>
        <v>14</v>
      </c>
      <c r="C12" s="12" t="n">
        <f aca="false">COUNTIF(Tracker!$J$106:$J$119,"Done")</f>
        <v>0</v>
      </c>
      <c r="D12" s="12" t="n">
        <f aca="false">COUNTIF(Tracker!$J$106:$J$119,"In Progress")</f>
        <v>0</v>
      </c>
      <c r="E12" s="12" t="n">
        <f aca="false">COUNTIF(Tracker!$J$106:$J$119,"Not Started")</f>
        <v>14</v>
      </c>
      <c r="F12" s="12" t="n">
        <f aca="false">COUNTIF(Tracker!$J$106:$J$119,"Blocked")</f>
        <v>0</v>
      </c>
      <c r="G12" s="13" t="n">
        <f aca="false">IF(B12=0,0,C12/B12)</f>
        <v>0</v>
      </c>
      <c r="H12" s="14" t="n">
        <f aca="false">MIN(Tracker!$G$106:$G$119)</f>
        <v>46527</v>
      </c>
      <c r="I12" s="14" t="n">
        <f aca="false">MAX(Tracker!$H$106:$H$119)</f>
        <v>46723</v>
      </c>
      <c r="J12" s="12" t="n">
        <f aca="false">NETWORKDAYS(H12,I12,Holidays!$A$2:$A$40)</f>
        <v>141</v>
      </c>
    </row>
    <row r="13" customFormat="false" ht="15" hidden="false" customHeight="false" outlineLevel="0" collapsed="false">
      <c r="A13" s="15" t="s">
        <v>600</v>
      </c>
      <c r="B13" s="15" t="n">
        <f aca="false">SUM(B4:B12)</f>
        <v>116</v>
      </c>
      <c r="C13" s="15" t="n">
        <f aca="false">SUM(C4:C12)</f>
        <v>1</v>
      </c>
      <c r="D13" s="15" t="n">
        <f aca="false">SUM(D4:D12)</f>
        <v>0</v>
      </c>
      <c r="E13" s="15" t="n">
        <f aca="false">SUM(E4:E12)</f>
        <v>115</v>
      </c>
      <c r="F13" s="15" t="n">
        <f aca="false">SUM(F4:F12)</f>
        <v>0</v>
      </c>
      <c r="G13" s="16" t="n">
        <f aca="false">IF(B13=0,0,C13/B13)</f>
        <v>0.00862068965517241</v>
      </c>
      <c r="H13" s="17" t="n">
        <f aca="false">MIN(H4:H12)</f>
        <v>46286</v>
      </c>
      <c r="I13" s="17" t="n">
        <f aca="false">MAX(I4:I12)</f>
        <v>46723</v>
      </c>
      <c r="J13" s="15" t="n">
        <f aca="false">NETWORKDAYS(H13,I13,Holidays!$A$2:$A$40)</f>
        <v>310</v>
      </c>
    </row>
    <row r="15" customFormat="false" ht="15" hidden="false" customHeight="false" outlineLevel="0" collapsed="false">
      <c r="A15" s="18" t="s">
        <v>601</v>
      </c>
    </row>
    <row r="16" customFormat="false" ht="15" hidden="false" customHeight="false" outlineLevel="0" collapsed="false">
      <c r="A16" s="19" t="s">
        <v>602</v>
      </c>
      <c r="B16" s="19" t="s">
        <v>603</v>
      </c>
      <c r="C16" s="19" t="s">
        <v>604</v>
      </c>
    </row>
    <row r="17" customFormat="false" ht="15" hidden="false" customHeight="false" outlineLevel="0" collapsed="false">
      <c r="A17" s="20" t="s">
        <v>605</v>
      </c>
      <c r="B17" s="20" t="n">
        <f aca="false">ROW(Tracker!H5)</f>
        <v>5</v>
      </c>
      <c r="C17" s="21" t="n">
        <f aca="false">Tracker!H5</f>
        <v>46310</v>
      </c>
    </row>
    <row r="18" customFormat="false" ht="15" hidden="false" customHeight="false" outlineLevel="0" collapsed="false">
      <c r="A18" s="20" t="s">
        <v>606</v>
      </c>
      <c r="B18" s="20" t="n">
        <f aca="false">ROW(Tracker!H6)</f>
        <v>6</v>
      </c>
      <c r="C18" s="21" t="n">
        <f aca="false">Tracker!H6</f>
        <v>46318</v>
      </c>
    </row>
    <row r="19" customFormat="false" ht="15" hidden="false" customHeight="false" outlineLevel="0" collapsed="false">
      <c r="A19" s="20" t="s">
        <v>607</v>
      </c>
      <c r="B19" s="20" t="n">
        <f aca="false">ROW(Tracker!H25)</f>
        <v>25</v>
      </c>
      <c r="C19" s="21" t="n">
        <f aca="false">Tracker!H25</f>
        <v>46359</v>
      </c>
    </row>
    <row r="20" customFormat="false" ht="15" hidden="false" customHeight="false" outlineLevel="0" collapsed="false">
      <c r="A20" s="20" t="s">
        <v>608</v>
      </c>
      <c r="B20" s="20" t="n">
        <f aca="false">ROW(Tracker!H48)</f>
        <v>48</v>
      </c>
      <c r="C20" s="21" t="n">
        <f aca="false">Tracker!H48</f>
        <v>46479</v>
      </c>
    </row>
    <row r="21" customFormat="false" ht="15" hidden="false" customHeight="false" outlineLevel="0" collapsed="false">
      <c r="A21" s="20" t="s">
        <v>609</v>
      </c>
      <c r="B21" s="20" t="n">
        <f aca="false">ROW(Tracker!H55)</f>
        <v>55</v>
      </c>
      <c r="C21" s="21" t="n">
        <f aca="false">Tracker!H55</f>
        <v>46489</v>
      </c>
    </row>
    <row r="22" customFormat="false" ht="15" hidden="false" customHeight="false" outlineLevel="0" collapsed="false">
      <c r="A22" s="20" t="s">
        <v>404</v>
      </c>
      <c r="B22" s="20" t="n">
        <f aca="false">ROW(Tracker!H81)</f>
        <v>81</v>
      </c>
      <c r="C22" s="21" t="n">
        <f aca="false">Tracker!H81</f>
        <v>46526</v>
      </c>
    </row>
    <row r="23" customFormat="false" ht="15" hidden="false" customHeight="false" outlineLevel="0" collapsed="false">
      <c r="A23" s="20" t="s">
        <v>610</v>
      </c>
      <c r="B23" s="20" t="n">
        <f aca="false">ROW(Tracker!H106)</f>
        <v>106</v>
      </c>
      <c r="C23" s="21" t="n">
        <f aca="false">Tracker!H106</f>
        <v>46540</v>
      </c>
    </row>
    <row r="24" customFormat="false" ht="15" hidden="false" customHeight="false" outlineLevel="0" collapsed="false">
      <c r="A24" s="20" t="s">
        <v>611</v>
      </c>
      <c r="B24" s="20" t="n">
        <f aca="false">ROW(Tracker!H108)</f>
        <v>108</v>
      </c>
      <c r="C24" s="21" t="n">
        <f aca="false">Tracker!H108</f>
        <v>46568</v>
      </c>
    </row>
    <row r="25" customFormat="false" ht="15" hidden="false" customHeight="false" outlineLevel="0" collapsed="false">
      <c r="A25" s="20" t="s">
        <v>612</v>
      </c>
      <c r="B25" s="20" t="n">
        <f aca="false">ROW(Tracker!H111)</f>
        <v>111</v>
      </c>
      <c r="C25" s="21" t="n">
        <f aca="false">Tracker!H111</f>
        <v>46660</v>
      </c>
    </row>
    <row r="26" customFormat="false" ht="15" hidden="false" customHeight="false" outlineLevel="0" collapsed="false">
      <c r="A26" s="20" t="s">
        <v>613</v>
      </c>
      <c r="B26" s="20" t="n">
        <f aca="false">ROW(Tracker!H112)</f>
        <v>112</v>
      </c>
      <c r="C26" s="21" t="n">
        <f aca="false">Tracker!H112</f>
        <v>46667</v>
      </c>
    </row>
    <row r="27" customFormat="false" ht="15" hidden="false" customHeight="false" outlineLevel="0" collapsed="false">
      <c r="A27" s="20" t="s">
        <v>614</v>
      </c>
      <c r="B27" s="20" t="n">
        <f aca="false">ROW(Tracker!H119)</f>
        <v>119</v>
      </c>
      <c r="C27" s="21" t="n">
        <f aca="false">Tracker!H119</f>
        <v>46723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4"/>
  </cols>
  <sheetData>
    <row r="1" customFormat="false" ht="30" hidden="false" customHeight="true" outlineLevel="0" collapsed="false">
      <c r="A1" s="1" t="s">
        <v>615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0" t="s">
        <v>616</v>
      </c>
    </row>
    <row r="3" customFormat="false" ht="15" hidden="false" customHeight="false" outlineLevel="0" collapsed="false">
      <c r="A3" s="19" t="s">
        <v>617</v>
      </c>
      <c r="B3" s="19" t="s">
        <v>618</v>
      </c>
      <c r="C3" s="19" t="s">
        <v>619</v>
      </c>
      <c r="D3" s="19" t="s">
        <v>620</v>
      </c>
      <c r="E3" s="19" t="s">
        <v>621</v>
      </c>
      <c r="F3" s="19" t="s">
        <v>11</v>
      </c>
      <c r="G3" s="19" t="s">
        <v>622</v>
      </c>
    </row>
    <row r="4" customFormat="false" ht="15" hidden="false" customHeight="false" outlineLevel="0" collapsed="false">
      <c r="A4" s="22" t="n">
        <v>1</v>
      </c>
      <c r="B4" s="22" t="s">
        <v>623</v>
      </c>
      <c r="C4" s="22" t="s">
        <v>624</v>
      </c>
      <c r="D4" s="22" t="s">
        <v>625</v>
      </c>
      <c r="E4" s="23" t="n">
        <f aca="false">Tracker!G5</f>
        <v>46307</v>
      </c>
      <c r="F4" s="22" t="s">
        <v>626</v>
      </c>
      <c r="G4" s="22"/>
    </row>
    <row r="5" customFormat="false" ht="23.85" hidden="false" customHeight="false" outlineLevel="0" collapsed="false">
      <c r="A5" s="22" t="n">
        <v>2</v>
      </c>
      <c r="B5" s="22" t="s">
        <v>627</v>
      </c>
      <c r="C5" s="22" t="s">
        <v>628</v>
      </c>
      <c r="D5" s="22" t="s">
        <v>629</v>
      </c>
      <c r="E5" s="23" t="n">
        <f aca="false">Tracker!G6</f>
        <v>46311</v>
      </c>
      <c r="F5" s="22" t="s">
        <v>626</v>
      </c>
      <c r="G5" s="22" t="s">
        <v>630</v>
      </c>
    </row>
    <row r="6" customFormat="false" ht="15" hidden="false" customHeight="false" outlineLevel="0" collapsed="false">
      <c r="A6" s="22" t="n">
        <v>3</v>
      </c>
      <c r="B6" s="22" t="s">
        <v>631</v>
      </c>
      <c r="C6" s="22" t="s">
        <v>632</v>
      </c>
      <c r="D6" s="22" t="s">
        <v>633</v>
      </c>
      <c r="E6" s="23" t="n">
        <f aca="false">Tracker!G95</f>
        <v>46311</v>
      </c>
      <c r="F6" s="22" t="s">
        <v>626</v>
      </c>
      <c r="G6" s="22" t="s">
        <v>634</v>
      </c>
    </row>
    <row r="7" customFormat="false" ht="15" hidden="false" customHeight="false" outlineLevel="0" collapsed="false">
      <c r="A7" s="22" t="n">
        <v>4</v>
      </c>
      <c r="B7" s="22" t="s">
        <v>47</v>
      </c>
      <c r="C7" s="22" t="s">
        <v>108</v>
      </c>
      <c r="D7" s="22" t="s">
        <v>635</v>
      </c>
      <c r="E7" s="23" t="n">
        <f aca="false">Tracker!G10</f>
        <v>46321</v>
      </c>
      <c r="F7" s="22" t="s">
        <v>626</v>
      </c>
      <c r="G7" s="22" t="s">
        <v>636</v>
      </c>
    </row>
    <row r="8" customFormat="false" ht="15" hidden="false" customHeight="false" outlineLevel="0" collapsed="false">
      <c r="A8" s="22" t="n">
        <v>5</v>
      </c>
      <c r="B8" s="22" t="s">
        <v>51</v>
      </c>
      <c r="C8" s="22" t="s">
        <v>113</v>
      </c>
      <c r="D8" s="22" t="s">
        <v>637</v>
      </c>
      <c r="E8" s="23" t="n">
        <f aca="false">Tracker!G11</f>
        <v>46321</v>
      </c>
      <c r="F8" s="22" t="s">
        <v>626</v>
      </c>
      <c r="G8" s="22"/>
    </row>
    <row r="9" customFormat="false" ht="15" hidden="false" customHeight="false" outlineLevel="0" collapsed="false">
      <c r="A9" s="22" t="n">
        <v>6</v>
      </c>
      <c r="B9" s="22" t="s">
        <v>638</v>
      </c>
      <c r="C9" s="22" t="s">
        <v>639</v>
      </c>
      <c r="D9" s="22" t="s">
        <v>640</v>
      </c>
      <c r="E9" s="23" t="n">
        <f aca="false">Tracker!G12</f>
        <v>46321</v>
      </c>
      <c r="F9" s="22" t="s">
        <v>626</v>
      </c>
      <c r="G9" s="22"/>
    </row>
    <row r="10" customFormat="false" ht="15" hidden="false" customHeight="false" outlineLevel="0" collapsed="false">
      <c r="A10" s="22" t="n">
        <v>7</v>
      </c>
      <c r="B10" s="22" t="s">
        <v>641</v>
      </c>
      <c r="C10" s="22" t="s">
        <v>642</v>
      </c>
      <c r="D10" s="22" t="s">
        <v>643</v>
      </c>
      <c r="E10" s="23" t="n">
        <f aca="false">Tracker!G13</f>
        <v>46321</v>
      </c>
      <c r="F10" s="22" t="s">
        <v>626</v>
      </c>
      <c r="G10" s="22"/>
    </row>
    <row r="11" customFormat="false" ht="15" hidden="false" customHeight="false" outlineLevel="0" collapsed="false">
      <c r="A11" s="22" t="n">
        <v>8</v>
      </c>
      <c r="B11" s="22" t="s">
        <v>644</v>
      </c>
      <c r="C11" s="22" t="s">
        <v>645</v>
      </c>
      <c r="D11" s="22" t="s">
        <v>646</v>
      </c>
      <c r="E11" s="23" t="n">
        <f aca="false">Tracker!G15</f>
        <v>46311</v>
      </c>
      <c r="F11" s="22" t="s">
        <v>626</v>
      </c>
      <c r="G11" s="22"/>
    </row>
    <row r="12" customFormat="false" ht="23.85" hidden="false" customHeight="false" outlineLevel="0" collapsed="false">
      <c r="A12" s="22" t="n">
        <v>9</v>
      </c>
      <c r="B12" s="22" t="s">
        <v>647</v>
      </c>
      <c r="C12" s="22" t="s">
        <v>648</v>
      </c>
      <c r="D12" s="22" t="s">
        <v>649</v>
      </c>
      <c r="E12" s="23" t="n">
        <f aca="false">Tracker!G16</f>
        <v>46321</v>
      </c>
      <c r="F12" s="22" t="s">
        <v>626</v>
      </c>
      <c r="G12" s="22" t="s">
        <v>650</v>
      </c>
    </row>
    <row r="13" customFormat="false" ht="15" hidden="false" customHeight="false" outlineLevel="0" collapsed="false">
      <c r="A13" s="22" t="n">
        <v>10</v>
      </c>
      <c r="B13" s="22" t="s">
        <v>651</v>
      </c>
      <c r="C13" s="22" t="s">
        <v>652</v>
      </c>
      <c r="D13" s="22" t="s">
        <v>653</v>
      </c>
      <c r="E13" s="23" t="n">
        <f aca="false">Tracker!G17</f>
        <v>46311</v>
      </c>
      <c r="F13" s="22" t="s">
        <v>626</v>
      </c>
      <c r="G13" s="22"/>
    </row>
    <row r="14" customFormat="false" ht="15" hidden="false" customHeight="false" outlineLevel="0" collapsed="false">
      <c r="A14" s="22" t="n">
        <v>11</v>
      </c>
      <c r="B14" s="22" t="s">
        <v>654</v>
      </c>
      <c r="C14" s="22" t="s">
        <v>655</v>
      </c>
      <c r="D14" s="22" t="s">
        <v>656</v>
      </c>
      <c r="E14" s="23" t="n">
        <f aca="false">Tracker!G32</f>
        <v>46346</v>
      </c>
      <c r="F14" s="22" t="s">
        <v>626</v>
      </c>
      <c r="G14" s="22"/>
    </row>
    <row r="15" customFormat="false" ht="23.85" hidden="false" customHeight="false" outlineLevel="0" collapsed="false">
      <c r="A15" s="22" t="n">
        <v>12</v>
      </c>
      <c r="B15" s="22" t="s">
        <v>657</v>
      </c>
      <c r="C15" s="22" t="s">
        <v>658</v>
      </c>
      <c r="D15" s="22" t="s">
        <v>659</v>
      </c>
      <c r="E15" s="23" t="n">
        <f aca="false">Tracker!G33</f>
        <v>46350</v>
      </c>
      <c r="F15" s="22" t="s">
        <v>626</v>
      </c>
      <c r="G15" s="22"/>
    </row>
    <row r="16" customFormat="false" ht="15" hidden="false" customHeight="false" outlineLevel="0" collapsed="false">
      <c r="A16" s="22" t="n">
        <v>13</v>
      </c>
      <c r="B16" s="22" t="s">
        <v>660</v>
      </c>
      <c r="C16" s="22" t="s">
        <v>624</v>
      </c>
      <c r="D16" s="22" t="s">
        <v>661</v>
      </c>
      <c r="E16" s="23" t="n">
        <f aca="false">Tracker!G34</f>
        <v>46350</v>
      </c>
      <c r="F16" s="22" t="s">
        <v>626</v>
      </c>
      <c r="G16" s="22"/>
    </row>
    <row r="17" customFormat="false" ht="23.85" hidden="false" customHeight="false" outlineLevel="0" collapsed="false">
      <c r="A17" s="22" t="n">
        <v>14</v>
      </c>
      <c r="B17" s="22" t="s">
        <v>662</v>
      </c>
      <c r="C17" s="22" t="s">
        <v>663</v>
      </c>
      <c r="D17" s="22" t="s">
        <v>664</v>
      </c>
      <c r="E17" s="23" t="n">
        <f aca="false">Tracker!G74</f>
        <v>46353</v>
      </c>
      <c r="F17" s="22" t="s">
        <v>626</v>
      </c>
      <c r="G17" s="22"/>
    </row>
    <row r="18" customFormat="false" ht="23.85" hidden="false" customHeight="false" outlineLevel="0" collapsed="false">
      <c r="A18" s="22" t="n">
        <v>15</v>
      </c>
      <c r="B18" s="22" t="s">
        <v>665</v>
      </c>
      <c r="C18" s="22" t="s">
        <v>666</v>
      </c>
      <c r="D18" s="22" t="s">
        <v>667</v>
      </c>
      <c r="E18" s="23" t="n">
        <f aca="false">Tracker!G73</f>
        <v>46507</v>
      </c>
      <c r="F18" s="22" t="s">
        <v>626</v>
      </c>
      <c r="G18" s="22" t="s">
        <v>668</v>
      </c>
    </row>
    <row r="19" customFormat="false" ht="15" hidden="false" customHeight="false" outlineLevel="0" collapsed="false">
      <c r="A19" s="22" t="n">
        <v>16</v>
      </c>
      <c r="B19" s="22" t="s">
        <v>669</v>
      </c>
      <c r="C19" s="22" t="s">
        <v>632</v>
      </c>
      <c r="D19" s="22" t="s">
        <v>670</v>
      </c>
      <c r="E19" s="23" t="n">
        <f aca="false">Tracker!G101</f>
        <v>46541</v>
      </c>
      <c r="F19" s="22" t="s">
        <v>626</v>
      </c>
      <c r="G19" s="22" t="s">
        <v>671</v>
      </c>
    </row>
  </sheetData>
  <mergeCells count="1">
    <mergeCell ref="A1:G1"/>
  </mergeCells>
  <dataValidations count="1">
    <dataValidation allowBlank="false" errorStyle="stop" operator="between" showDropDown="false" showErrorMessage="false" showInputMessage="false" sqref="F4:F40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60"/>
    <col collapsed="false" customWidth="true" hidden="false" outlineLevel="0" max="6" min="6" style="0" width="3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672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0" t="s">
        <v>673</v>
      </c>
    </row>
    <row r="3" customFormat="false" ht="15" hidden="false" customHeight="false" outlineLevel="0" collapsed="false">
      <c r="A3" s="19" t="s">
        <v>617</v>
      </c>
      <c r="B3" s="19" t="s">
        <v>674</v>
      </c>
      <c r="C3" s="19" t="s">
        <v>675</v>
      </c>
      <c r="D3" s="19" t="s">
        <v>676</v>
      </c>
      <c r="E3" s="19" t="s">
        <v>677</v>
      </c>
      <c r="F3" s="19" t="s">
        <v>678</v>
      </c>
      <c r="G3" s="19" t="s">
        <v>11</v>
      </c>
    </row>
    <row r="4" customFormat="false" ht="23.85" hidden="false" customHeight="false" outlineLevel="0" collapsed="false">
      <c r="A4" s="22" t="n">
        <v>1</v>
      </c>
      <c r="B4" s="22" t="s">
        <v>679</v>
      </c>
      <c r="C4" s="22" t="s">
        <v>680</v>
      </c>
      <c r="D4" s="22" t="s">
        <v>681</v>
      </c>
      <c r="E4" s="22" t="s">
        <v>682</v>
      </c>
      <c r="F4" s="22" t="s">
        <v>683</v>
      </c>
      <c r="G4" s="22" t="s">
        <v>626</v>
      </c>
    </row>
    <row r="5" customFormat="false" ht="23.85" hidden="false" customHeight="false" outlineLevel="0" collapsed="false">
      <c r="A5" s="22" t="n">
        <v>2</v>
      </c>
      <c r="B5" s="22" t="s">
        <v>684</v>
      </c>
      <c r="C5" s="22" t="s">
        <v>680</v>
      </c>
      <c r="D5" s="22" t="s">
        <v>680</v>
      </c>
      <c r="E5" s="22" t="s">
        <v>685</v>
      </c>
      <c r="F5" s="22" t="s">
        <v>686</v>
      </c>
      <c r="G5" s="22" t="s">
        <v>626</v>
      </c>
    </row>
    <row r="6" customFormat="false" ht="23.85" hidden="false" customHeight="false" outlineLevel="0" collapsed="false">
      <c r="A6" s="22" t="n">
        <v>3</v>
      </c>
      <c r="B6" s="22" t="s">
        <v>687</v>
      </c>
      <c r="C6" s="22" t="s">
        <v>680</v>
      </c>
      <c r="D6" s="22" t="s">
        <v>681</v>
      </c>
      <c r="E6" s="22" t="s">
        <v>688</v>
      </c>
      <c r="F6" s="22" t="s">
        <v>689</v>
      </c>
      <c r="G6" s="22" t="s">
        <v>626</v>
      </c>
    </row>
    <row r="7" customFormat="false" ht="23.85" hidden="false" customHeight="false" outlineLevel="0" collapsed="false">
      <c r="A7" s="22" t="n">
        <v>4</v>
      </c>
      <c r="B7" s="22" t="s">
        <v>690</v>
      </c>
      <c r="C7" s="22" t="s">
        <v>680</v>
      </c>
      <c r="D7" s="22" t="s">
        <v>681</v>
      </c>
      <c r="E7" s="22" t="s">
        <v>691</v>
      </c>
      <c r="F7" s="22" t="s">
        <v>692</v>
      </c>
      <c r="G7" s="22" t="s">
        <v>626</v>
      </c>
    </row>
    <row r="8" customFormat="false" ht="23.85" hidden="false" customHeight="false" outlineLevel="0" collapsed="false">
      <c r="A8" s="22" t="n">
        <v>5</v>
      </c>
      <c r="B8" s="22" t="s">
        <v>693</v>
      </c>
      <c r="C8" s="22" t="s">
        <v>680</v>
      </c>
      <c r="D8" s="22" t="s">
        <v>680</v>
      </c>
      <c r="E8" s="22" t="s">
        <v>694</v>
      </c>
      <c r="F8" s="22" t="s">
        <v>695</v>
      </c>
      <c r="G8" s="22" t="s">
        <v>626</v>
      </c>
    </row>
    <row r="9" customFormat="false" ht="23.85" hidden="false" customHeight="false" outlineLevel="0" collapsed="false">
      <c r="A9" s="22" t="n">
        <v>6</v>
      </c>
      <c r="B9" s="22" t="s">
        <v>696</v>
      </c>
      <c r="C9" s="22" t="s">
        <v>680</v>
      </c>
      <c r="D9" s="22" t="s">
        <v>680</v>
      </c>
      <c r="E9" s="22" t="s">
        <v>697</v>
      </c>
      <c r="F9" s="22" t="s">
        <v>698</v>
      </c>
      <c r="G9" s="22" t="s">
        <v>626</v>
      </c>
    </row>
    <row r="10" customFormat="false" ht="23.85" hidden="false" customHeight="false" outlineLevel="0" collapsed="false">
      <c r="A10" s="22" t="n">
        <v>7</v>
      </c>
      <c r="B10" s="22" t="s">
        <v>699</v>
      </c>
      <c r="C10" s="22" t="s">
        <v>681</v>
      </c>
      <c r="D10" s="22" t="s">
        <v>681</v>
      </c>
      <c r="E10" s="22" t="s">
        <v>700</v>
      </c>
      <c r="F10" s="22" t="s">
        <v>701</v>
      </c>
      <c r="G10" s="22" t="s">
        <v>626</v>
      </c>
    </row>
    <row r="11" customFormat="false" ht="23.85" hidden="false" customHeight="false" outlineLevel="0" collapsed="false">
      <c r="A11" s="22" t="n">
        <v>8</v>
      </c>
      <c r="B11" s="22" t="s">
        <v>702</v>
      </c>
      <c r="C11" s="22" t="s">
        <v>680</v>
      </c>
      <c r="D11" s="22" t="s">
        <v>703</v>
      </c>
      <c r="E11" s="22" t="s">
        <v>704</v>
      </c>
      <c r="F11" s="22" t="s">
        <v>705</v>
      </c>
      <c r="G11" s="22" t="s">
        <v>626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4" style="0" width="60"/>
  </cols>
  <sheetData>
    <row r="1" customFormat="false" ht="35.05" hidden="false" customHeight="false" outlineLevel="0" collapsed="false">
      <c r="A1" s="24" t="s">
        <v>706</v>
      </c>
      <c r="B1" s="24" t="s">
        <v>707</v>
      </c>
      <c r="D1" s="25" t="s">
        <v>708</v>
      </c>
    </row>
    <row r="2" customFormat="false" ht="15" hidden="false" customHeight="false" outlineLevel="0" collapsed="false">
      <c r="A2" s="26" t="n">
        <v>46315</v>
      </c>
      <c r="B2" s="27" t="s">
        <v>709</v>
      </c>
    </row>
    <row r="3" customFormat="false" ht="15" hidden="false" customHeight="false" outlineLevel="0" collapsed="false">
      <c r="A3" s="26" t="n">
        <v>46381</v>
      </c>
      <c r="B3" s="27" t="s">
        <v>710</v>
      </c>
    </row>
    <row r="4" customFormat="false" ht="15" hidden="false" customHeight="false" outlineLevel="0" collapsed="false">
      <c r="A4" s="26" t="n">
        <v>46413</v>
      </c>
      <c r="B4" s="27" t="s">
        <v>711</v>
      </c>
    </row>
    <row r="5" customFormat="false" ht="15" hidden="false" customHeight="false" outlineLevel="0" collapsed="false">
      <c r="A5" s="26" t="n">
        <v>46472</v>
      </c>
      <c r="B5" s="27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2026-10-08T09:38:00Z</dcterms:created>
  <dc:creator>openpyxl</dc:creator>
  <dc:description/>
  <dc:language>en-US</dc:language>
  <cp:lastModifiedBy/>
  <dcterms:modified xsi:type="dcterms:W3CDTF">2026-10-08T09:38:00Z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